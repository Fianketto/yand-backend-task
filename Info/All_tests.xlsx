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.gadzhily\Desktop\Файлы\Прочее\Ya\"/>
    </mc:Choice>
  </mc:AlternateContent>
  <bookViews>
    <workbookView xWindow="0" yWindow="0" windowWidth="19770" windowHeight="8805"/>
  </bookViews>
  <sheets>
    <sheet name="Описание полей" sheetId="5" r:id="rId1"/>
    <sheet name="Описание значений" sheetId="3" r:id="rId2"/>
    <sheet name="Список тестов" sheetId="1" r:id="rId3"/>
    <sheet name="LOGS" sheetId="4" r:id="rId4"/>
  </sheets>
  <definedNames>
    <definedName name="_xlnm._FilterDatabase" localSheetId="2" hidden="1">'Список тестов'!$A$1:$R$1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86" i="1" l="1"/>
  <c r="R87" i="1"/>
  <c r="R88" i="1"/>
  <c r="R89" i="1"/>
  <c r="R90" i="1"/>
  <c r="R91" i="1"/>
  <c r="R92" i="1"/>
  <c r="R93" i="1"/>
  <c r="R94" i="1"/>
  <c r="R95" i="1"/>
  <c r="H3" i="4"/>
  <c r="R3" i="1" s="1"/>
  <c r="H4" i="4"/>
  <c r="R4" i="1" s="1"/>
  <c r="H5" i="4"/>
  <c r="R5" i="1" s="1"/>
  <c r="H6" i="4"/>
  <c r="R6" i="1" s="1"/>
  <c r="H7" i="4"/>
  <c r="R7" i="1" s="1"/>
  <c r="H8" i="4"/>
  <c r="R8" i="1" s="1"/>
  <c r="H9" i="4"/>
  <c r="R9" i="1" s="1"/>
  <c r="H10" i="4"/>
  <c r="R10" i="1" s="1"/>
  <c r="H11" i="4"/>
  <c r="R11" i="1" s="1"/>
  <c r="H12" i="4"/>
  <c r="R12" i="1" s="1"/>
  <c r="H13" i="4"/>
  <c r="R13" i="1" s="1"/>
  <c r="H14" i="4"/>
  <c r="R14" i="1" s="1"/>
  <c r="H15" i="4"/>
  <c r="R15" i="1" s="1"/>
  <c r="H16" i="4"/>
  <c r="R16" i="1" s="1"/>
  <c r="H17" i="4"/>
  <c r="R17" i="1" s="1"/>
  <c r="H18" i="4"/>
  <c r="R18" i="1" s="1"/>
  <c r="H19" i="4"/>
  <c r="R19" i="1" s="1"/>
  <c r="H20" i="4"/>
  <c r="R20" i="1" s="1"/>
  <c r="H21" i="4"/>
  <c r="R21" i="1" s="1"/>
  <c r="H22" i="4"/>
  <c r="R22" i="1" s="1"/>
  <c r="H23" i="4"/>
  <c r="R23" i="1" s="1"/>
  <c r="H24" i="4"/>
  <c r="R24" i="1" s="1"/>
  <c r="H25" i="4"/>
  <c r="R25" i="1" s="1"/>
  <c r="H26" i="4"/>
  <c r="R26" i="1" s="1"/>
  <c r="H27" i="4"/>
  <c r="R27" i="1" s="1"/>
  <c r="H28" i="4"/>
  <c r="R28" i="1" s="1"/>
  <c r="H29" i="4"/>
  <c r="R29" i="1" s="1"/>
  <c r="H30" i="4"/>
  <c r="R30" i="1" s="1"/>
  <c r="H31" i="4"/>
  <c r="R31" i="1" s="1"/>
  <c r="H32" i="4"/>
  <c r="R32" i="1" s="1"/>
  <c r="H33" i="4"/>
  <c r="R33" i="1" s="1"/>
  <c r="H34" i="4"/>
  <c r="R34" i="1" s="1"/>
  <c r="H35" i="4"/>
  <c r="R35" i="1" s="1"/>
  <c r="H36" i="4"/>
  <c r="R36" i="1" s="1"/>
  <c r="H37" i="4"/>
  <c r="R37" i="1" s="1"/>
  <c r="H38" i="4"/>
  <c r="R38" i="1" s="1"/>
  <c r="H39" i="4"/>
  <c r="R39" i="1" s="1"/>
  <c r="H40" i="4"/>
  <c r="R40" i="1" s="1"/>
  <c r="H41" i="4"/>
  <c r="R41" i="1" s="1"/>
  <c r="H42" i="4"/>
  <c r="R42" i="1" s="1"/>
  <c r="H43" i="4"/>
  <c r="R43" i="1" s="1"/>
  <c r="H44" i="4"/>
  <c r="R44" i="1" s="1"/>
  <c r="H45" i="4"/>
  <c r="R45" i="1" s="1"/>
  <c r="H46" i="4"/>
  <c r="R46" i="1" s="1"/>
  <c r="H47" i="4"/>
  <c r="R47" i="1" s="1"/>
  <c r="H48" i="4"/>
  <c r="R48" i="1" s="1"/>
  <c r="H49" i="4"/>
  <c r="R49" i="1" s="1"/>
  <c r="H50" i="4"/>
  <c r="R50" i="1" s="1"/>
  <c r="H51" i="4"/>
  <c r="R51" i="1" s="1"/>
  <c r="H52" i="4"/>
  <c r="R52" i="1" s="1"/>
  <c r="H53" i="4"/>
  <c r="R53" i="1" s="1"/>
  <c r="H54" i="4"/>
  <c r="R54" i="1" s="1"/>
  <c r="H55" i="4"/>
  <c r="R55" i="1" s="1"/>
  <c r="H56" i="4"/>
  <c r="R56" i="1" s="1"/>
  <c r="H57" i="4"/>
  <c r="R57" i="1" s="1"/>
  <c r="H58" i="4"/>
  <c r="R58" i="1" s="1"/>
  <c r="H59" i="4"/>
  <c r="R59" i="1" s="1"/>
  <c r="H60" i="4"/>
  <c r="R60" i="1" s="1"/>
  <c r="H61" i="4"/>
  <c r="R61" i="1" s="1"/>
  <c r="H62" i="4"/>
  <c r="R62" i="1" s="1"/>
  <c r="H63" i="4"/>
  <c r="R63" i="1" s="1"/>
  <c r="H64" i="4"/>
  <c r="R64" i="1" s="1"/>
  <c r="H65" i="4"/>
  <c r="R65" i="1" s="1"/>
  <c r="H66" i="4"/>
  <c r="R66" i="1" s="1"/>
  <c r="H67" i="4"/>
  <c r="R67" i="1" s="1"/>
  <c r="H68" i="4"/>
  <c r="R68" i="1" s="1"/>
  <c r="H69" i="4"/>
  <c r="R69" i="1" s="1"/>
  <c r="H70" i="4"/>
  <c r="R70" i="1" s="1"/>
  <c r="H71" i="4"/>
  <c r="R71" i="1" s="1"/>
  <c r="H72" i="4"/>
  <c r="R72" i="1" s="1"/>
  <c r="H73" i="4"/>
  <c r="R73" i="1" s="1"/>
  <c r="H74" i="4"/>
  <c r="R74" i="1" s="1"/>
  <c r="H75" i="4"/>
  <c r="R75" i="1" s="1"/>
  <c r="H76" i="4"/>
  <c r="R76" i="1" s="1"/>
  <c r="H77" i="4"/>
  <c r="R77" i="1" s="1"/>
  <c r="H78" i="4"/>
  <c r="R78" i="1" s="1"/>
  <c r="H79" i="4"/>
  <c r="R79" i="1" s="1"/>
  <c r="H80" i="4"/>
  <c r="R80" i="1" s="1"/>
  <c r="H81" i="4"/>
  <c r="R81" i="1" s="1"/>
  <c r="H82" i="4"/>
  <c r="R82" i="1" s="1"/>
  <c r="H83" i="4"/>
  <c r="R83" i="1" s="1"/>
  <c r="H84" i="4"/>
  <c r="R84" i="1" s="1"/>
  <c r="H85" i="4"/>
  <c r="R85" i="1" s="1"/>
  <c r="H86" i="4"/>
  <c r="H87" i="4"/>
  <c r="H88" i="4"/>
  <c r="H89" i="4"/>
  <c r="H90" i="4"/>
  <c r="H91" i="4"/>
  <c r="H92" i="4"/>
  <c r="H93" i="4"/>
  <c r="H94" i="4"/>
  <c r="H95" i="4"/>
  <c r="H2" i="4"/>
  <c r="R2" i="1" s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P86" i="1"/>
  <c r="P87" i="1"/>
  <c r="P88" i="1"/>
  <c r="P89" i="1"/>
  <c r="P90" i="1"/>
  <c r="P91" i="1"/>
  <c r="P92" i="1"/>
  <c r="P93" i="1"/>
  <c r="P94" i="1"/>
  <c r="P95" i="1"/>
  <c r="O3" i="1"/>
  <c r="P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O87" i="1"/>
  <c r="O88" i="1"/>
  <c r="O89" i="1"/>
  <c r="O90" i="1"/>
  <c r="O91" i="1"/>
  <c r="O92" i="1"/>
  <c r="O93" i="1"/>
  <c r="O94" i="1"/>
  <c r="O95" i="1"/>
  <c r="O2" i="1"/>
  <c r="P2" i="1" s="1"/>
  <c r="L5" i="1" l="1"/>
  <c r="M5" i="1" s="1"/>
  <c r="L4" i="1"/>
  <c r="M4" i="1" s="1"/>
  <c r="L3" i="1"/>
  <c r="M3" i="1" s="1"/>
  <c r="L2" i="1"/>
  <c r="M2" i="1" s="1"/>
  <c r="L7" i="1"/>
  <c r="M7" i="1" s="1"/>
  <c r="L6" i="1"/>
  <c r="M6" i="1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2" i="1"/>
  <c r="L70" i="1"/>
  <c r="M70" i="1" s="1"/>
  <c r="L71" i="1"/>
  <c r="M71" i="1" s="1"/>
  <c r="H70" i="1"/>
  <c r="I70" i="1"/>
  <c r="L8" i="1" l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H68" i="1"/>
  <c r="I68" i="1"/>
  <c r="H69" i="1"/>
  <c r="I69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67" i="1"/>
  <c r="I67" i="1"/>
  <c r="H65" i="1"/>
  <c r="I65" i="1"/>
  <c r="H66" i="1"/>
  <c r="I66" i="1"/>
  <c r="H42" i="1" l="1"/>
  <c r="I42" i="1"/>
  <c r="H43" i="1"/>
  <c r="I43" i="1"/>
  <c r="H46" i="1"/>
  <c r="I46" i="1"/>
  <c r="H50" i="1"/>
  <c r="I50" i="1"/>
  <c r="H51" i="1"/>
  <c r="I51" i="1"/>
  <c r="H52" i="1"/>
  <c r="I52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53" i="1" l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49" i="1"/>
  <c r="I49" i="1"/>
  <c r="H47" i="1"/>
  <c r="I47" i="1"/>
  <c r="H48" i="1"/>
  <c r="I48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4" i="1"/>
  <c r="I44" i="1"/>
  <c r="H45" i="1"/>
  <c r="I45" i="1"/>
  <c r="H29" i="1"/>
  <c r="I29" i="1"/>
  <c r="H30" i="1"/>
  <c r="I30" i="1"/>
  <c r="H31" i="1"/>
  <c r="I31" i="1"/>
  <c r="H28" i="1"/>
  <c r="I28" i="1"/>
  <c r="H3" i="1"/>
  <c r="I3" i="1"/>
  <c r="H4" i="1"/>
  <c r="I4" i="1"/>
  <c r="H5" i="1"/>
  <c r="I5" i="1"/>
  <c r="H6" i="1"/>
  <c r="I6" i="1"/>
  <c r="H7" i="1"/>
  <c r="I7" i="1"/>
  <c r="H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I2" i="1"/>
  <c r="H2" i="1"/>
  <c r="I17" i="1" l="1"/>
</calcChain>
</file>

<file path=xl/sharedStrings.xml><?xml version="1.0" encoding="utf-8"?>
<sst xmlns="http://schemas.openxmlformats.org/spreadsheetml/2006/main" count="1422" uniqueCount="557">
  <si>
    <t>TEST_ID</t>
  </si>
  <si>
    <t>REQUEST</t>
  </si>
  <si>
    <t>POST data</t>
  </si>
  <si>
    <t>PATCH data</t>
  </si>
  <si>
    <t>GET data</t>
  </si>
  <si>
    <t>GET birthdays</t>
  </si>
  <si>
    <t>GET percentiles</t>
  </si>
  <si>
    <t>WITH_FILE</t>
  </si>
  <si>
    <t>FILE_NAME</t>
  </si>
  <si>
    <t>EXPECTED_STATUS</t>
  </si>
  <si>
    <t>RESPONSE_STATUS</t>
  </si>
  <si>
    <t>RESPONSE_DETAIL</t>
  </si>
  <si>
    <t>PASSED</t>
  </si>
  <si>
    <t>CURL_REQUEST</t>
  </si>
  <si>
    <t>GROUP</t>
  </si>
  <si>
    <t>TYPE</t>
  </si>
  <si>
    <t>N</t>
  </si>
  <si>
    <t>INSTANCE</t>
  </si>
  <si>
    <t>01</t>
  </si>
  <si>
    <t>03</t>
  </si>
  <si>
    <t>04</t>
  </si>
  <si>
    <t>05</t>
  </si>
  <si>
    <t>06</t>
  </si>
  <si>
    <t>00</t>
  </si>
  <si>
    <t>02</t>
  </si>
  <si>
    <t>Верный запрос</t>
  </si>
  <si>
    <t>Нет необходимых полей во входных данных</t>
  </si>
  <si>
    <t>Лишние поля во входных данных</t>
  </si>
  <si>
    <t>Ошибка в значениях во входных данных</t>
  </si>
  <si>
    <t>Ошибка в строке запроса</t>
  </si>
  <si>
    <t>Ошибка в форматах во входных данных</t>
  </si>
  <si>
    <t>Отсутствует одно поле</t>
  </si>
  <si>
    <t>Отсутствует несколько полей</t>
  </si>
  <si>
    <t>Отсутствуют все или несколько полей и есть неописанные</t>
  </si>
  <si>
    <t>Дата не является валидной</t>
  </si>
  <si>
    <t>Родственные связи не двусторонние</t>
  </si>
  <si>
    <t>Формат одного или нескольких полей неверный (int,str,list)</t>
  </si>
  <si>
    <t>Формат даты неверный (не ДД.ММ.ГГГГ)</t>
  </si>
  <si>
    <t>Отсутствует указанный import_id</t>
  </si>
  <si>
    <t>Отсутствует указанный citizen_id</t>
  </si>
  <si>
    <t>01t01</t>
  </si>
  <si>
    <t>00t01</t>
  </si>
  <si>
    <t>01t02</t>
  </si>
  <si>
    <t>02t01</t>
  </si>
  <si>
    <t>03t01</t>
  </si>
  <si>
    <t>04t01</t>
  </si>
  <si>
    <t>04t02</t>
  </si>
  <si>
    <t>05t01</t>
  </si>
  <si>
    <t>05t02</t>
  </si>
  <si>
    <t>Данные горожан в правильном формате, 1 гражданин</t>
  </si>
  <si>
    <t>Данные горожан в правильном формате, 10 граждан</t>
  </si>
  <si>
    <t>Данные горожан в правильном формате, 1000 граждан</t>
  </si>
  <si>
    <t>Данные горожан в правильном формате, 10000 граждан</t>
  </si>
  <si>
    <t>Данные горожан в правильном формате, 100 граждан</t>
  </si>
  <si>
    <t>Отсутствует поле citizen_id у одного гражданина</t>
  </si>
  <si>
    <t>Отсутствует поле birth_date у нескольких граждан</t>
  </si>
  <si>
    <t>Отсутствует поле town у всех граждан</t>
  </si>
  <si>
    <t>Отсутствуют разные поля у нескольких граждан</t>
  </si>
  <si>
    <t>Отсутствуют разные поля у всех граждан</t>
  </si>
  <si>
    <t>Отсутствуют поля relatives и name у одного гражданина</t>
  </si>
  <si>
    <t>INSTANCE_DESCRIPTION</t>
  </si>
  <si>
    <t>GROUP_DESCRIPTION</t>
  </si>
  <si>
    <t>TYPE_DESCRIPTION</t>
  </si>
  <si>
    <t>Пол не является валидным</t>
  </si>
  <si>
    <t>Отсутствуют поля gender, street и building у нескольких граждан</t>
  </si>
  <si>
    <t>Отсутствуют поля name, birth_date у всех граждан</t>
  </si>
  <si>
    <t>Отсутствует несколько разных полей у нескольких граждан</t>
  </si>
  <si>
    <t>Отсутствует несколько разных полей у всех граждан</t>
  </si>
  <si>
    <t>Поле towns вместо town у одного гражданина</t>
  </si>
  <si>
    <t>Поле towns вместо town у нескольких граждан</t>
  </si>
  <si>
    <t>Поле NAME вместо name у всех граждан</t>
  </si>
  <si>
    <t>Отсутствуют различные поля у граждан, есть лишнее поле child у одного гражданина</t>
  </si>
  <si>
    <t>Отсутствуют различные поля у граждан, есть лишние поля child, parent у всех граждан</t>
  </si>
  <si>
    <t>Лишнее поле child у одного гражданина</t>
  </si>
  <si>
    <t>Присутствует отрицательное число</t>
  </si>
  <si>
    <t>Поле citizen_id содержит отрицательное значение</t>
  </si>
  <si>
    <t>Поле apartment содержит отрицательное значение</t>
  </si>
  <si>
    <t>Пустое значение citizen_id  уодного гражданина</t>
  </si>
  <si>
    <t>Пустое значение town у нескольких граждан</t>
  </si>
  <si>
    <t>Значение "null" в поле building у одного гражданина</t>
  </si>
  <si>
    <t>Пустое значение relatives у одного гражданина (НЕ пустой список, а пустое значение)</t>
  </si>
  <si>
    <t>Пустое значение birth_date у нескольких граждан</t>
  </si>
  <si>
    <t>Дата 30.02.2000</t>
  </si>
  <si>
    <t>Дата 30.13.2011</t>
  </si>
  <si>
    <t>Пол "fmale"</t>
  </si>
  <si>
    <t>Пол "M"</t>
  </si>
  <si>
    <t>Пол "mujik"</t>
  </si>
  <si>
    <t>04t03</t>
  </si>
  <si>
    <t>В citizen_id записано '1' вместо 1</t>
  </si>
  <si>
    <t>В building записано 20 вместо "20"</t>
  </si>
  <si>
    <t>Дата 01.31.1990</t>
  </si>
  <si>
    <t>Дата 31.01.92</t>
  </si>
  <si>
    <t>Дата 01-01-1971</t>
  </si>
  <si>
    <t>Дата 23/04/1978</t>
  </si>
  <si>
    <t>Дата 04.1978</t>
  </si>
  <si>
    <t>02t02</t>
  </si>
  <si>
    <t>02t03</t>
  </si>
  <si>
    <t>06t02</t>
  </si>
  <si>
    <t>06t01</t>
  </si>
  <si>
    <t>04t05</t>
  </si>
  <si>
    <t>04t04</t>
  </si>
  <si>
    <t>Формат не JSON: отсутствует закрывающая скобка</t>
  </si>
  <si>
    <t>Формат не JSON: ключ "town" без значения</t>
  </si>
  <si>
    <t>Формат не JSON: значение birth_dt в одинарных кавычках</t>
  </si>
  <si>
    <t>На первом уровне есть лишняя пара (помимо "citizens":[])</t>
  </si>
  <si>
    <t>На первом уровне нет пары "citizens":[]</t>
  </si>
  <si>
    <t>Присутствует дублирование ключа citizens (на первом уровне)</t>
  </si>
  <si>
    <t>Присутствует дублирование ключа name (внутри списка citizens)</t>
  </si>
  <si>
    <t>Значение citizens не является списком</t>
  </si>
  <si>
    <t>Значение citizens является пустым списком</t>
  </si>
  <si>
    <t>Формат входных данных не JSON</t>
  </si>
  <si>
    <t>Общая ошибка в формате входных данных</t>
  </si>
  <si>
    <t>Ошибка в структуре входных данных</t>
  </si>
  <si>
    <t>Дублирование citizen_id</t>
  </si>
  <si>
    <t>Несуществующий citizen_id в родственных связях</t>
  </si>
  <si>
    <t>04t06</t>
  </si>
  <si>
    <t>04t07</t>
  </si>
  <si>
    <t>Несуществующий citizen_id=777 у первого гражданина</t>
  </si>
  <si>
    <t>Дублирование citizen_id=1 в списке граждан</t>
  </si>
  <si>
    <t>Дублирование citizen_id=1 в списке родственников второго гражданина</t>
  </si>
  <si>
    <t>Гражданин citizen_id=1 из будущего</t>
  </si>
  <si>
    <t>Длина строки name больше 256</t>
  </si>
  <si>
    <t>Число apartment больше 100 миллиардов</t>
  </si>
  <si>
    <t xml:space="preserve">Неверные длина строки/числовое значение </t>
  </si>
  <si>
    <t>Изменение имени у citizen_id=1</t>
  </si>
  <si>
    <t>Удаление всех родственных связей у citizen_id=2 и изменение town</t>
  </si>
  <si>
    <t>N_REQ</t>
  </si>
  <si>
    <t>Круглые скобки вместо фигурных</t>
  </si>
  <si>
    <t>Отсутствует двоеточие внутри пары ключ-значение</t>
  </si>
  <si>
    <t>Присутствует дублирование ключа town</t>
  </si>
  <si>
    <t>Отсутствуют данные</t>
  </si>
  <si>
    <t>Неописанное поле child в данных</t>
  </si>
  <si>
    <t>Поле citizen_id в данных</t>
  </si>
  <si>
    <t>Неописанное поле child в данных (присутствуют также relatives и street)</t>
  </si>
  <si>
    <t>apartment=-1</t>
  </si>
  <si>
    <t>Длина строки street больше 256</t>
  </si>
  <si>
    <t>Дата 29.02.2019</t>
  </si>
  <si>
    <t>Пол "F"</t>
  </si>
  <si>
    <t>Несуществующий citizen_id=100</t>
  </si>
  <si>
    <t>building=14</t>
  </si>
  <si>
    <t>Дата 14/02/1487</t>
  </si>
  <si>
    <t>import_id=0</t>
  </si>
  <si>
    <t>import_id=-4</t>
  </si>
  <si>
    <t>import_id=555</t>
  </si>
  <si>
    <t>citizen_id=-8</t>
  </si>
  <si>
    <t>citizen_id=123</t>
  </si>
  <si>
    <t>Запрос третьей выборки</t>
  </si>
  <si>
    <t>import_id=50</t>
  </si>
  <si>
    <t>Запрос ДР по четвертой выборке</t>
  </si>
  <si>
    <t>import_id=16</t>
  </si>
  <si>
    <t>Запрос перцентилей по шестой выборке</t>
  </si>
  <si>
    <t>import_id=-5</t>
  </si>
  <si>
    <t>Данные горожан в правильном формате, 50000 граждан</t>
  </si>
  <si>
    <t>2 лишних поля у нескольких граждан</t>
  </si>
  <si>
    <t>Лишнее поле child у всех граждан</t>
  </si>
  <si>
    <t xml:space="preserve">citizen[1].relatives=[9,2,3], но citizen[3].relatives=[8,4,5] </t>
  </si>
  <si>
    <t xml:space="preserve">citizen[1].relatives=[2,3], но citizen[3].relatives=[] </t>
  </si>
  <si>
    <t xml:space="preserve">citizen[5].relatives=[], но citizen[7].relatives=[5] </t>
  </si>
  <si>
    <t>В relatives записана строка "[9,2]" вместо списка [9,2]</t>
  </si>
  <si>
    <t>В relatives записано число 1 вместо списка [1]</t>
  </si>
  <si>
    <t>Лишняя запятая в конце списка</t>
  </si>
  <si>
    <t>Изменение родственных связей у citizen_id=1: relatives=[6,7]</t>
  </si>
  <si>
    <t>Поля child и citizen_id во входных данных</t>
  </si>
  <si>
    <t>Дублирование citizen_id=3 в списке родственников</t>
  </si>
  <si>
    <t>curl -X GET 0.0.0.0:8080/imports/3/citizens</t>
  </si>
  <si>
    <t>curl -X GET 0.0.0.0:8080/imports/50/citizens</t>
  </si>
  <si>
    <t>curl -X GET 0.0.0.0:8080/imports/3/citizens/birthdays</t>
  </si>
  <si>
    <t>curl -X GET 0.0.0.0:8080/imports/16/citizens/birthdays</t>
  </si>
  <si>
    <t>curl -X GET 0.0.0.0:8080/imports/3/towns/stat/percentile/age</t>
  </si>
  <si>
    <t>curl -X GET 0.0.0.0:8080/imports/-5/towns/stat/percentile/age</t>
  </si>
  <si>
    <t>starting_time</t>
  </si>
  <si>
    <t>request</t>
  </si>
  <si>
    <t>ending_time</t>
  </si>
  <si>
    <t>duration</t>
  </si>
  <si>
    <t>response_status</t>
  </si>
  <si>
    <t>response_text</t>
  </si>
  <si>
    <t xml:space="preserve"> &lt;Request 'http://0.0.0.0:8080/imports' [POST]&gt;</t>
  </si>
  <si>
    <t xml:space="preserve"> {'import_id': 1}</t>
  </si>
  <si>
    <t xml:space="preserve"> {'import_id': 2}</t>
  </si>
  <si>
    <t xml:space="preserve"> {'import_id': 3}</t>
  </si>
  <si>
    <t xml:space="preserve"> {'import_id': 4}</t>
  </si>
  <si>
    <t xml:space="preserve"> {'import_id': 5}</t>
  </si>
  <si>
    <t xml:space="preserve"> {'import_id': 6}</t>
  </si>
  <si>
    <t xml:space="preserve"> Import data is not in JSON format</t>
  </si>
  <si>
    <t xml:space="preserve"> Import data has more than 1 key (should be only "citizens")</t>
  </si>
  <si>
    <t xml:space="preserve"> Import data has no "citizens" key</t>
  </si>
  <si>
    <t xml:space="preserve"> Import data has duplicate keys</t>
  </si>
  <si>
    <t xml:space="preserve"> The "citizens" value must be a list</t>
  </si>
  <si>
    <t xml:space="preserve"> No citizens in import data. Should be at least one</t>
  </si>
  <si>
    <t xml:space="preserve"> One or more fields are missing in import data - key citizen_id (citizen 0)</t>
  </si>
  <si>
    <t xml:space="preserve"> One or more fields are missing in import data - key birth_date (citizen 0)</t>
  </si>
  <si>
    <t xml:space="preserve"> One or more fields are missing in import data - key town (citizen 0)</t>
  </si>
  <si>
    <t xml:space="preserve"> One or more fields are missing in import data - key apartment (citizen 0)</t>
  </si>
  <si>
    <t xml:space="preserve"> One or more fields are missing in import data - key gender (citizen 0)</t>
  </si>
  <si>
    <t xml:space="preserve"> One or more fields are missing in import data - key name (citizen 0)</t>
  </si>
  <si>
    <t xml:space="preserve"> One or more fields are missing in import data - key street (citizen 0)</t>
  </si>
  <si>
    <t xml:space="preserve"> One or more extra fields in import data - key child (citizen 0)</t>
  </si>
  <si>
    <t xml:space="preserve"> One or more values in import data are invalid - key citizen_id (citizen 0)</t>
  </si>
  <si>
    <t xml:space="preserve"> One or more values in import data are invalid - key apartment (citizen 0)</t>
  </si>
  <si>
    <t xml:space="preserve"> One or more values in import data are invalid - key town (citizen 1)</t>
  </si>
  <si>
    <t xml:space="preserve"> One or more values in import data are invalid - key building (citizen 0)</t>
  </si>
  <si>
    <t xml:space="preserve"> One or more values in import data are invalid - key birth_date (citizen 9)</t>
  </si>
  <si>
    <t xml:space="preserve"> One or more values in import data are invalid - key name (citizen 0)</t>
  </si>
  <si>
    <t xml:space="preserve"> birth_date is invaild or has incorrect format, must be dd.mm.yyyy (citizen 0)</t>
  </si>
  <si>
    <t xml:space="preserve"> birth_date is invaild or has incorrect format, must be dd.mm.yyyy (citizen 1)</t>
  </si>
  <si>
    <t xml:space="preserve"> Newborn citizens and time travelers are not supported. Check birth_date (citizen 1)</t>
  </si>
  <si>
    <t xml:space="preserve"> Invalid gender (citizen 0)</t>
  </si>
  <si>
    <t xml:space="preserve"> Invalid gender (citizen 1)</t>
  </si>
  <si>
    <t xml:space="preserve"> Invalid gender (citizen 2)</t>
  </si>
  <si>
    <t xml:space="preserve"> Duplicate citizen_id in import data</t>
  </si>
  <si>
    <t xml:space="preserve"> Duplicate citizen_id in relatives list (citizen 2)</t>
  </si>
  <si>
    <t xml:space="preserve"> Nonexistent citizen_id 777 in the list of relatives (citizen 1)</t>
  </si>
  <si>
    <t xml:space="preserve"> Relatives inconsistency: citizen_id=1 is not in the list of citizen_id=3</t>
  </si>
  <si>
    <t xml:space="preserve"> Relatives inconsistency: citizen_id=7 is not in the list of citizen_id=5</t>
  </si>
  <si>
    <t xml:space="preserve"> One or more fields in import data have incorrect type - key citizen_id (citizen 1)</t>
  </si>
  <si>
    <t xml:space="preserve"> One or more fields in import data have incorrect type - key relatives (citizen 1)</t>
  </si>
  <si>
    <t xml:space="preserve"> One or more fields in import data have incorrect type - key relatives (citizen 2)</t>
  </si>
  <si>
    <t xml:space="preserve"> One or more fields in import data have incorrect type - key building (citizen 9)</t>
  </si>
  <si>
    <t xml:space="preserve"> birth_date is invaild or has incorrect format, must be dd.mm.yyyy (citizen 7)</t>
  </si>
  <si>
    <t xml:space="preserve"> birth_date is invaild or has incorrect format, must be dd.mm.yyyy (citizen 2)</t>
  </si>
  <si>
    <t xml:space="preserve"> birth_date is invaild or has incorrect format, must be dd.mm.yyyy (citizen 4)</t>
  </si>
  <si>
    <t xml:space="preserve"> &lt;Request 'http://0.0.0.0:8080/imports/2/citizens/1' [PATCH]&gt;</t>
  </si>
  <si>
    <t xml:space="preserve"> No valid key in import data</t>
  </si>
  <si>
    <t xml:space="preserve"> One or more extra fields in import data - key child</t>
  </si>
  <si>
    <t xml:space="preserve"> One or more extra fields in import data - key citizen_id</t>
  </si>
  <si>
    <t xml:space="preserve"> One or more values in import data are invalid - key apartment</t>
  </si>
  <si>
    <t xml:space="preserve"> birth_date is invaild or has incorrect format, must be dd.mm.yyyy</t>
  </si>
  <si>
    <t xml:space="preserve"> Invalid gender</t>
  </si>
  <si>
    <t xml:space="preserve"> Duplicate citizen_id in relatives list</t>
  </si>
  <si>
    <t xml:space="preserve"> Nonexistent citizen_id 100 in the list of relatives</t>
  </si>
  <si>
    <t xml:space="preserve"> One or more fields in import data have incorrect type - key building</t>
  </si>
  <si>
    <t xml:space="preserve">2019-08-23 09:47:22.806798 </t>
  </si>
  <si>
    <t xml:space="preserve"> &lt;Request 'http://0.0.0.0:8080/imports/-4/citizens/1' [PATCH]&gt;</t>
  </si>
  <si>
    <t xml:space="preserve">2019-08-23 09:47:22.808528 </t>
  </si>
  <si>
    <t xml:space="preserve"> 0:00:00.001730 </t>
  </si>
  <si>
    <t xml:space="preserve"> Invalid import_id</t>
  </si>
  <si>
    <t xml:space="preserve">2019-08-23 09:47:27.858636 </t>
  </si>
  <si>
    <t xml:space="preserve"> &lt;Request 'http://0.0.0.0:8080/imports/0/citizens/1' [PATCH]&gt;</t>
  </si>
  <si>
    <t xml:space="preserve">2019-08-23 09:47:27.859339 </t>
  </si>
  <si>
    <t xml:space="preserve"> 0:00:00.000703 </t>
  </si>
  <si>
    <t xml:space="preserve">2019-08-23 09:47:33.663330 </t>
  </si>
  <si>
    <t xml:space="preserve"> &lt;Request 'http://0.0.0.0:8080/imports/555/citizens/1' [PATCH]&gt;</t>
  </si>
  <si>
    <t xml:space="preserve">2019-08-23 09:47:33.664989 </t>
  </si>
  <si>
    <t xml:space="preserve"> 0:00:00.001659 </t>
  </si>
  <si>
    <t xml:space="preserve">2019-08-23 09:47:43.731347 </t>
  </si>
  <si>
    <t xml:space="preserve"> &lt;Request 'http://0.0.0.0:8080/imports/2/citizens/-8' [PATCH]&gt;</t>
  </si>
  <si>
    <t xml:space="preserve">2019-08-23 09:47:43.733211 </t>
  </si>
  <si>
    <t xml:space="preserve"> 0:00:00.001864 </t>
  </si>
  <si>
    <t xml:space="preserve"> Invalid citizen_id</t>
  </si>
  <si>
    <t xml:space="preserve">2019-08-23 09:47:49.069995 </t>
  </si>
  <si>
    <t xml:space="preserve"> &lt;Request 'http://0.0.0.0:8080/imports/2/citizens/123' [PATCH]&gt;</t>
  </si>
  <si>
    <t xml:space="preserve">2019-08-23 09:47:49.071890 </t>
  </si>
  <si>
    <t xml:space="preserve"> 0:00:00.001895 </t>
  </si>
  <si>
    <t xml:space="preserve">2019-08-23 09:48:26.695909 </t>
  </si>
  <si>
    <t xml:space="preserve"> &lt;Request 'http://0.0.0.0:8080/imports/3/citizens' [GET]&gt;</t>
  </si>
  <si>
    <t xml:space="preserve">2019-08-23 09:48:26.705932 </t>
  </si>
  <si>
    <t xml:space="preserve"> 0:00:00.010023 </t>
  </si>
  <si>
    <t xml:space="preserve"> longer than 300 symbols</t>
  </si>
  <si>
    <t xml:space="preserve">2019-08-23 09:48:34.151398 </t>
  </si>
  <si>
    <t xml:space="preserve"> &lt;Request 'http://0.0.0.0:8080/imports/50/citizens' [GET]&gt;</t>
  </si>
  <si>
    <t xml:space="preserve">2019-08-23 09:48:34.153314 </t>
  </si>
  <si>
    <t xml:space="preserve"> 0:00:00.001916 </t>
  </si>
  <si>
    <t xml:space="preserve">2019-08-23 09:48:43.694239 </t>
  </si>
  <si>
    <t xml:space="preserve"> &lt;Request 'http://0.0.0.0:8080/imports/3/citizens/birthdays' [GET]&gt;</t>
  </si>
  <si>
    <t xml:space="preserve">2019-08-23 09:48:43.782625 </t>
  </si>
  <si>
    <t xml:space="preserve"> 0:00:00.088386 </t>
  </si>
  <si>
    <t xml:space="preserve">2019-08-23 09:48:51.999146 </t>
  </si>
  <si>
    <t xml:space="preserve"> &lt;Request 'http://0.0.0.0:8080/imports/16/citizens/birthdays' [GET]&gt;</t>
  </si>
  <si>
    <t xml:space="preserve">2019-08-23 09:48:52.000963 </t>
  </si>
  <si>
    <t xml:space="preserve"> 0:00:00.001817 </t>
  </si>
  <si>
    <t xml:space="preserve">2019-08-23 09:49:12.158947 </t>
  </si>
  <si>
    <t xml:space="preserve"> &lt;Request 'http://0.0.0.0:8080/imports/3/towns/stat/percentile/age' [GET]&gt;</t>
  </si>
  <si>
    <t xml:space="preserve">2019-08-23 09:49:12.192704 </t>
  </si>
  <si>
    <t xml:space="preserve"> 0:00:00.033757 </t>
  </si>
  <si>
    <t xml:space="preserve">2019-08-23 09:49:19.839274 </t>
  </si>
  <si>
    <t xml:space="preserve"> &lt;Request 'http://0.0.0.0:8080/imports/-5/towns/stat/percentile/age' [GET]&gt;</t>
  </si>
  <si>
    <t xml:space="preserve">2019-08-23 09:49:19.841075 </t>
  </si>
  <si>
    <t xml:space="preserve"> 0:00:00.001801 </t>
  </si>
  <si>
    <t>.</t>
  </si>
  <si>
    <t>RESPONSE_TIME</t>
  </si>
  <si>
    <t>duration_in_seconds</t>
  </si>
  <si>
    <t xml:space="preserve"> One or more values in import data are invalid - key street</t>
  </si>
  <si>
    <t>Порядковый номер</t>
  </si>
  <si>
    <t>Описание</t>
  </si>
  <si>
    <t>Порядковый номер теста</t>
  </si>
  <si>
    <t>Порядковый номер теста в пределах обработчика</t>
  </si>
  <si>
    <t>Идентификатор теста</t>
  </si>
  <si>
    <t>Обработчик</t>
  </si>
  <si>
    <t>Группа теста (см. Описание значений)</t>
  </si>
  <si>
    <t>Тип теста (см. Описание значений)</t>
  </si>
  <si>
    <t>Порядковый номер теста в пределах типа</t>
  </si>
  <si>
    <t>Описание конкретного теста</t>
  </si>
  <si>
    <t>Описание группы теста</t>
  </si>
  <si>
    <t>Описание типа теста</t>
  </si>
  <si>
    <t>Имя файла</t>
  </si>
  <si>
    <t>Запрос через curl</t>
  </si>
  <si>
    <t>Ожидаемый статус</t>
  </si>
  <si>
    <t>Статус, полученный от сервиса</t>
  </si>
  <si>
    <t>Ответ, полученный от сервиса</t>
  </si>
  <si>
    <t>Используется файл (boolean)</t>
  </si>
  <si>
    <t>Поля в "Список тестов"</t>
  </si>
  <si>
    <t>Поля в "LOGS"</t>
  </si>
  <si>
    <t>Длительность выполнения обработки (в секундах)</t>
  </si>
  <si>
    <t>Время отправки запроса</t>
  </si>
  <si>
    <t>Запрос</t>
  </si>
  <si>
    <t>Время получения ответа от сервиса</t>
  </si>
  <si>
    <t>Длительность выполнения обработки</t>
  </si>
  <si>
    <t>Тест пройден (almost boolean)</t>
  </si>
  <si>
    <t xml:space="preserve">2019-08-23 13:12:07.067636 </t>
  </si>
  <si>
    <t xml:space="preserve">2019-08-23 13:12:07.103307 </t>
  </si>
  <si>
    <t xml:space="preserve"> 0:00:00.035671 </t>
  </si>
  <si>
    <t xml:space="preserve">2019-08-23 13:12:12.732847 </t>
  </si>
  <si>
    <t xml:space="preserve">2019-08-23 13:12:12.776207 </t>
  </si>
  <si>
    <t xml:space="preserve"> 0:00:00.043360 </t>
  </si>
  <si>
    <t xml:space="preserve">2019-08-23 13:12:17.465704 </t>
  </si>
  <si>
    <t xml:space="preserve">2019-08-23 13:12:17.533728 </t>
  </si>
  <si>
    <t xml:space="preserve"> 0:00:00.068024 </t>
  </si>
  <si>
    <t xml:space="preserve">2019-08-23 13:12:21.457257 </t>
  </si>
  <si>
    <t xml:space="preserve">2019-08-23 13:12:21.593162 </t>
  </si>
  <si>
    <t xml:space="preserve"> 0:00:00.135905 </t>
  </si>
  <si>
    <t xml:space="preserve">2019-08-23 13:12:25.560879 </t>
  </si>
  <si>
    <t xml:space="preserve">2019-08-23 13:12:26.321475 </t>
  </si>
  <si>
    <t xml:space="preserve"> 0:00:00.760596 </t>
  </si>
  <si>
    <t xml:space="preserve">2019-08-23 13:12:32.006398 </t>
  </si>
  <si>
    <t xml:space="preserve">2019-08-23 13:12:35.317915 </t>
  </si>
  <si>
    <t xml:space="preserve"> 0:00:03.311517 </t>
  </si>
  <si>
    <t xml:space="preserve">2019-08-23 13:13:19.149577 </t>
  </si>
  <si>
    <t xml:space="preserve">2019-08-23 13:13:19.150601 </t>
  </si>
  <si>
    <t xml:space="preserve"> 0:00:00.001024 </t>
  </si>
  <si>
    <t xml:space="preserve">2019-08-23 13:13:20.663180 </t>
  </si>
  <si>
    <t xml:space="preserve">2019-08-23 13:13:20.663974 </t>
  </si>
  <si>
    <t xml:space="preserve"> 0:00:00.000794 </t>
  </si>
  <si>
    <t xml:space="preserve">2019-08-23 13:13:22.178472 </t>
  </si>
  <si>
    <t xml:space="preserve">2019-08-23 13:13:22.179469 </t>
  </si>
  <si>
    <t xml:space="preserve"> 0:00:00.000997 </t>
  </si>
  <si>
    <t xml:space="preserve">2019-08-23 13:13:23.694864 </t>
  </si>
  <si>
    <t xml:space="preserve">2019-08-23 13:13:23.695878 </t>
  </si>
  <si>
    <t xml:space="preserve"> 0:00:00.001014 </t>
  </si>
  <si>
    <t xml:space="preserve">2019-08-23 13:13:25.212806 </t>
  </si>
  <si>
    <t xml:space="preserve">2019-08-23 13:13:25.213997 </t>
  </si>
  <si>
    <t xml:space="preserve"> 0:00:00.001191 </t>
  </si>
  <si>
    <t xml:space="preserve">2019-08-23 13:13:26.726954 </t>
  </si>
  <si>
    <t xml:space="preserve">2019-08-23 13:13:26.728106 </t>
  </si>
  <si>
    <t xml:space="preserve"> 0:00:00.001152 </t>
  </si>
  <si>
    <t xml:space="preserve">2019-08-23 13:13:28.240476 </t>
  </si>
  <si>
    <t xml:space="preserve">2019-08-23 13:13:28.241377 </t>
  </si>
  <si>
    <t xml:space="preserve"> 0:00:00.000901 </t>
  </si>
  <si>
    <t xml:space="preserve">2019-08-23 13:13:29.755077 </t>
  </si>
  <si>
    <t xml:space="preserve">2019-08-23 13:13:29.756189 </t>
  </si>
  <si>
    <t xml:space="preserve"> 0:00:00.001112 </t>
  </si>
  <si>
    <t xml:space="preserve">2019-08-23 13:13:31.269023 </t>
  </si>
  <si>
    <t xml:space="preserve">2019-08-23 13:13:31.270161 </t>
  </si>
  <si>
    <t xml:space="preserve"> 0:00:00.001138 </t>
  </si>
  <si>
    <t xml:space="preserve">2019-08-23 13:13:32.784219 </t>
  </si>
  <si>
    <t xml:space="preserve">2019-08-23 13:13:32.785209 </t>
  </si>
  <si>
    <t xml:space="preserve"> 0:00:00.000990 </t>
  </si>
  <si>
    <t xml:space="preserve">2019-08-23 13:13:34.299840 </t>
  </si>
  <si>
    <t xml:space="preserve">2019-08-23 13:13:34.301048 </t>
  </si>
  <si>
    <t xml:space="preserve"> 0:00:00.001208 </t>
  </si>
  <si>
    <t xml:space="preserve">2019-08-23 13:13:35.813991 </t>
  </si>
  <si>
    <t xml:space="preserve">2019-08-23 13:13:35.815207 </t>
  </si>
  <si>
    <t xml:space="preserve"> 0:00:00.001216 </t>
  </si>
  <si>
    <t xml:space="preserve">2019-08-23 13:13:37.327371 </t>
  </si>
  <si>
    <t xml:space="preserve">2019-08-23 13:13:37.328601 </t>
  </si>
  <si>
    <t xml:space="preserve"> 0:00:00.001230 </t>
  </si>
  <si>
    <t xml:space="preserve">2019-08-23 13:13:38.843986 </t>
  </si>
  <si>
    <t xml:space="preserve">2019-08-23 13:13:38.845048 </t>
  </si>
  <si>
    <t xml:space="preserve"> 0:00:00.001062 </t>
  </si>
  <si>
    <t xml:space="preserve">2019-08-23 13:13:40.358179 </t>
  </si>
  <si>
    <t xml:space="preserve">2019-08-23 13:13:40.359207 </t>
  </si>
  <si>
    <t xml:space="preserve"> 0:00:00.001028 </t>
  </si>
  <si>
    <t xml:space="preserve">2019-08-23 13:13:41.871592 </t>
  </si>
  <si>
    <t xml:space="preserve">2019-08-23 13:13:41.872514 </t>
  </si>
  <si>
    <t xml:space="preserve"> 0:00:00.000922 </t>
  </si>
  <si>
    <t xml:space="preserve">2019-08-23 13:13:43.387413 </t>
  </si>
  <si>
    <t xml:space="preserve">2019-08-23 13:13:43.388579 </t>
  </si>
  <si>
    <t xml:space="preserve"> 0:00:00.001166 </t>
  </si>
  <si>
    <t xml:space="preserve">2019-08-23 13:13:44.901567 </t>
  </si>
  <si>
    <t xml:space="preserve">2019-08-23 13:13:44.902739 </t>
  </si>
  <si>
    <t xml:space="preserve"> 0:00:00.001172 </t>
  </si>
  <si>
    <t xml:space="preserve">2019-08-23 13:13:46.417380 </t>
  </si>
  <si>
    <t xml:space="preserve">2019-08-23 13:13:46.418574 </t>
  </si>
  <si>
    <t xml:space="preserve"> 0:00:00.001194 </t>
  </si>
  <si>
    <t xml:space="preserve">2019-08-23 13:13:47.933326 </t>
  </si>
  <si>
    <t xml:space="preserve">2019-08-23 13:13:47.934302 </t>
  </si>
  <si>
    <t xml:space="preserve"> 0:00:00.000976 </t>
  </si>
  <si>
    <t xml:space="preserve">2019-08-23 13:13:49.447800 </t>
  </si>
  <si>
    <t xml:space="preserve">2019-08-23 13:13:49.448990 </t>
  </si>
  <si>
    <t xml:space="preserve"> 0:00:00.001190 </t>
  </si>
  <si>
    <t xml:space="preserve">2019-08-23 13:13:50.966831 </t>
  </si>
  <si>
    <t xml:space="preserve">2019-08-23 13:13:50.968064 </t>
  </si>
  <si>
    <t xml:space="preserve"> 0:00:00.001233 </t>
  </si>
  <si>
    <t xml:space="preserve">2019-08-23 13:13:52.482112 </t>
  </si>
  <si>
    <t xml:space="preserve">2019-08-23 13:13:52.483090 </t>
  </si>
  <si>
    <t xml:space="preserve"> 0:00:00.000978 </t>
  </si>
  <si>
    <t xml:space="preserve">2019-08-23 13:13:53.995583 </t>
  </si>
  <si>
    <t xml:space="preserve">2019-08-23 13:13:53.996950 </t>
  </si>
  <si>
    <t xml:space="preserve"> 0:00:00.001367 </t>
  </si>
  <si>
    <t xml:space="preserve">2019-08-23 13:13:55.509885 </t>
  </si>
  <si>
    <t xml:space="preserve">2019-08-23 13:13:55.510898 </t>
  </si>
  <si>
    <t xml:space="preserve"> 0:00:00.001013 </t>
  </si>
  <si>
    <t xml:space="preserve">2019-08-23 13:13:57.023078 </t>
  </si>
  <si>
    <t xml:space="preserve">2019-08-23 13:13:57.024069 </t>
  </si>
  <si>
    <t xml:space="preserve"> 0:00:00.000991 </t>
  </si>
  <si>
    <t xml:space="preserve">2019-08-23 13:13:58.539350 </t>
  </si>
  <si>
    <t xml:space="preserve">2019-08-23 13:13:58.540677 </t>
  </si>
  <si>
    <t xml:space="preserve"> 0:00:00.001327 </t>
  </si>
  <si>
    <t xml:space="preserve">2019-08-23 13:14:00.055876 </t>
  </si>
  <si>
    <t xml:space="preserve">2019-08-23 13:14:00.057255 </t>
  </si>
  <si>
    <t xml:space="preserve"> 0:00:00.001379 </t>
  </si>
  <si>
    <t xml:space="preserve">2019-08-23 13:14:01.582852 </t>
  </si>
  <si>
    <t xml:space="preserve">2019-08-23 13:14:01.584438 </t>
  </si>
  <si>
    <t xml:space="preserve"> 0:00:00.001586 </t>
  </si>
  <si>
    <t xml:space="preserve">2019-08-23 13:14:03.099716 </t>
  </si>
  <si>
    <t xml:space="preserve">2019-08-23 13:14:03.100758 </t>
  </si>
  <si>
    <t xml:space="preserve"> 0:00:00.001042 </t>
  </si>
  <si>
    <t xml:space="preserve">2019-08-23 13:14:04.616091 </t>
  </si>
  <si>
    <t xml:space="preserve">2019-08-23 13:14:04.617906 </t>
  </si>
  <si>
    <t xml:space="preserve"> 0:00:00.001815 </t>
  </si>
  <si>
    <t xml:space="preserve">2019-08-23 13:14:06.158018 </t>
  </si>
  <si>
    <t xml:space="preserve">2019-08-23 13:14:06.159378 </t>
  </si>
  <si>
    <t xml:space="preserve"> 0:00:00.001360 </t>
  </si>
  <si>
    <t xml:space="preserve">2019-08-23 13:14:07.677435 </t>
  </si>
  <si>
    <t xml:space="preserve">2019-08-23 13:14:07.678440 </t>
  </si>
  <si>
    <t xml:space="preserve"> 0:00:00.001005 </t>
  </si>
  <si>
    <t xml:space="preserve">2019-08-23 13:14:09.197655 </t>
  </si>
  <si>
    <t xml:space="preserve">2019-08-23 13:14:09.199083 </t>
  </si>
  <si>
    <t xml:space="preserve"> 0:00:00.001428 </t>
  </si>
  <si>
    <t xml:space="preserve">2019-08-23 13:14:10.714430 </t>
  </si>
  <si>
    <t xml:space="preserve">2019-08-23 13:14:10.715871 </t>
  </si>
  <si>
    <t xml:space="preserve"> 0:00:00.001441 </t>
  </si>
  <si>
    <t xml:space="preserve">2019-08-23 13:14:12.232069 </t>
  </si>
  <si>
    <t xml:space="preserve">2019-08-23 13:14:12.233518 </t>
  </si>
  <si>
    <t xml:space="preserve"> 0:00:00.001449 </t>
  </si>
  <si>
    <t xml:space="preserve">2019-08-23 13:14:13.749177 </t>
  </si>
  <si>
    <t xml:space="preserve">2019-08-23 13:14:13.750593 </t>
  </si>
  <si>
    <t xml:space="preserve"> 0:00:00.001416 </t>
  </si>
  <si>
    <t xml:space="preserve">2019-08-23 13:14:15.266377 </t>
  </si>
  <si>
    <t xml:space="preserve">2019-08-23 13:14:15.267824 </t>
  </si>
  <si>
    <t xml:space="preserve"> 0:00:00.001447 </t>
  </si>
  <si>
    <t xml:space="preserve">2019-08-23 13:14:16.789080 </t>
  </si>
  <si>
    <t xml:space="preserve">2019-08-23 13:14:16.791643 </t>
  </si>
  <si>
    <t xml:space="preserve"> 0:00:00.002563 </t>
  </si>
  <si>
    <t xml:space="preserve">2019-08-23 13:14:18.306566 </t>
  </si>
  <si>
    <t xml:space="preserve">2019-08-23 13:14:18.308451 </t>
  </si>
  <si>
    <t xml:space="preserve"> 0:00:00.001885 </t>
  </si>
  <si>
    <t xml:space="preserve">2019-08-23 13:14:19.821500 </t>
  </si>
  <si>
    <t xml:space="preserve">2019-08-23 13:14:19.822955 </t>
  </si>
  <si>
    <t xml:space="preserve"> 0:00:00.001455 </t>
  </si>
  <si>
    <t xml:space="preserve">2019-08-23 13:14:21.336484 </t>
  </si>
  <si>
    <t xml:space="preserve">2019-08-23 13:14:21.337871 </t>
  </si>
  <si>
    <t xml:space="preserve"> 0:00:00.001387 </t>
  </si>
  <si>
    <t xml:space="preserve">2019-08-23 13:14:22.857503 </t>
  </si>
  <si>
    <t xml:space="preserve">2019-08-23 13:14:22.859122 </t>
  </si>
  <si>
    <t xml:space="preserve"> 0:00:00.001619 </t>
  </si>
  <si>
    <t xml:space="preserve">2019-08-23 13:14:24.382731 </t>
  </si>
  <si>
    <t xml:space="preserve">2019-08-23 13:14:24.384537 </t>
  </si>
  <si>
    <t xml:space="preserve"> 0:00:00.001806 </t>
  </si>
  <si>
    <t xml:space="preserve">2019-08-23 13:14:25.901170 </t>
  </si>
  <si>
    <t xml:space="preserve">2019-08-23 13:14:25.902897 </t>
  </si>
  <si>
    <t xml:space="preserve"> 0:00:00.001727 </t>
  </si>
  <si>
    <t xml:space="preserve">2019-08-23 13:14:27.421676 </t>
  </si>
  <si>
    <t xml:space="preserve">2019-08-23 13:14:27.423450 </t>
  </si>
  <si>
    <t xml:space="preserve"> 0:00:00.001774 </t>
  </si>
  <si>
    <t xml:space="preserve">2019-08-23 13:14:28.939675 </t>
  </si>
  <si>
    <t xml:space="preserve">2019-08-23 13:14:28.941604 </t>
  </si>
  <si>
    <t xml:space="preserve"> 0:00:00.001929 </t>
  </si>
  <si>
    <t xml:space="preserve">2019-08-23 13:14:30.456819 </t>
  </si>
  <si>
    <t xml:space="preserve">2019-08-23 13:14:30.458328 </t>
  </si>
  <si>
    <t xml:space="preserve"> 0:00:00.001509 </t>
  </si>
  <si>
    <t xml:space="preserve">2019-08-23 13:14:31.972278 </t>
  </si>
  <si>
    <t xml:space="preserve">2019-08-23 13:14:31.973417 </t>
  </si>
  <si>
    <t xml:space="preserve"> 0:00:00.001139 </t>
  </si>
  <si>
    <t xml:space="preserve">2019-08-23 13:14:33.486249 </t>
  </si>
  <si>
    <t xml:space="preserve">2019-08-23 13:14:33.487245 </t>
  </si>
  <si>
    <t xml:space="preserve"> 0:00:00.000996 </t>
  </si>
  <si>
    <t xml:space="preserve">2019-08-23 13:14:35.000367 </t>
  </si>
  <si>
    <t xml:space="preserve">2019-08-23 13:14:35.001645 </t>
  </si>
  <si>
    <t xml:space="preserve"> 0:00:00.001278 </t>
  </si>
  <si>
    <t xml:space="preserve">2019-08-23 13:14:36.516668 </t>
  </si>
  <si>
    <t xml:space="preserve">2019-08-23 13:14:36.517875 </t>
  </si>
  <si>
    <t xml:space="preserve"> 0:00:00.001207 </t>
  </si>
  <si>
    <t xml:space="preserve">2019-08-23 13:14:38.030615 </t>
  </si>
  <si>
    <t xml:space="preserve">2019-08-23 13:14:38.031739 </t>
  </si>
  <si>
    <t xml:space="preserve"> 0:00:00.001124 </t>
  </si>
  <si>
    <t xml:space="preserve">2019-08-23 13:14:39.548469 </t>
  </si>
  <si>
    <t xml:space="preserve">2019-08-23 13:14:39.556310 </t>
  </si>
  <si>
    <t xml:space="preserve"> 0:00:00.007841 </t>
  </si>
  <si>
    <t xml:space="preserve">2019-08-23 13:14:41.073700 </t>
  </si>
  <si>
    <t xml:space="preserve">2019-08-23 13:14:41.078747 </t>
  </si>
  <si>
    <t xml:space="preserve"> 0:00:00.005047 </t>
  </si>
  <si>
    <t xml:space="preserve">2019-08-23 13:14:42.594301 </t>
  </si>
  <si>
    <t xml:space="preserve">2019-08-23 13:14:42.595898 </t>
  </si>
  <si>
    <t xml:space="preserve"> 0:00:00.001597 </t>
  </si>
  <si>
    <t xml:space="preserve">2019-08-23 13:14:44.109540 </t>
  </si>
  <si>
    <t xml:space="preserve">2019-08-23 13:14:44.110773 </t>
  </si>
  <si>
    <t xml:space="preserve">2019-08-23 13:14:45.630711 </t>
  </si>
  <si>
    <t xml:space="preserve">2019-08-23 13:14:45.649065 </t>
  </si>
  <si>
    <t xml:space="preserve"> 0:00:00.018354 </t>
  </si>
  <si>
    <t xml:space="preserve"> {'citizen_id': 1, 'town': 'Мытищи', 'street': 'Макеевская улица', 'building': '70п69', 'apartment': 22, 'name': 'Измененное имя', 'birth_date': '16.11.1986', 'gender': 'male', 'relatives': [9, 2]}</t>
  </si>
  <si>
    <t xml:space="preserve">2019-08-23 13:14:47.162499 </t>
  </si>
  <si>
    <t xml:space="preserve">2019-08-23 13:14:47.245018 </t>
  </si>
  <si>
    <t xml:space="preserve"> 0:00:00.082519 </t>
  </si>
  <si>
    <t xml:space="preserve"> {'citizen_id': 1, 'town': 'Мытищи', 'street': 'Макеевская улица', 'building': '70п69', 'apartment': 22, 'name': 'Измененное имя', 'birth_date': '16.11.1986', 'gender': 'male', 'relatives': [6, 7]}</t>
  </si>
  <si>
    <t xml:space="preserve">2019-08-23 13:14:48.760399 </t>
  </si>
  <si>
    <t xml:space="preserve">2019-08-23 13:14:48.791675 </t>
  </si>
  <si>
    <t xml:space="preserve"> 0:00:00.031276 </t>
  </si>
  <si>
    <t xml:space="preserve"> {'citizen_id': 1, 'town': 'Измененный город', 'street': 'Макеевская улица', 'building': '70п69', 'apartment': 22, 'name': 'Измененное имя', 'birth_date': '16.11.1986', 'gender': 'male', 'relatives': []}</t>
  </si>
  <si>
    <t xml:space="preserve">2019-08-23 13:14:50.305359 </t>
  </si>
  <si>
    <t xml:space="preserve">2019-08-23 13:14:50.306264 </t>
  </si>
  <si>
    <t xml:space="preserve"> 0:00:00.000905 </t>
  </si>
  <si>
    <t xml:space="preserve">2019-08-23 13:14:51.822256 </t>
  </si>
  <si>
    <t xml:space="preserve">2019-08-23 13:14:51.823127 </t>
  </si>
  <si>
    <t xml:space="preserve"> 0:00:00.000871 </t>
  </si>
  <si>
    <t xml:space="preserve">2019-08-23 13:14:53.338116 </t>
  </si>
  <si>
    <t xml:space="preserve">2019-08-23 13:14:53.339140 </t>
  </si>
  <si>
    <t xml:space="preserve">2019-08-23 13:14:54.852139 </t>
  </si>
  <si>
    <t xml:space="preserve">2019-08-23 13:14:54.853111 </t>
  </si>
  <si>
    <t xml:space="preserve"> 0:00:00.000972 </t>
  </si>
  <si>
    <t xml:space="preserve">2019-08-23 13:14:56.369390 </t>
  </si>
  <si>
    <t xml:space="preserve">2019-08-23 13:14:56.370379 </t>
  </si>
  <si>
    <t xml:space="preserve"> 0:00:00.000989 </t>
  </si>
  <si>
    <t xml:space="preserve">2019-08-23 13:14:57.898260 </t>
  </si>
  <si>
    <t xml:space="preserve">2019-08-23 13:14:57.899262 </t>
  </si>
  <si>
    <t xml:space="preserve"> 0:00:00.001002 </t>
  </si>
  <si>
    <t xml:space="preserve">2019-08-23 13:14:59.413001 </t>
  </si>
  <si>
    <t xml:space="preserve">2019-08-23 13:14:59.414088 </t>
  </si>
  <si>
    <t xml:space="preserve"> 0:00:00.001087 </t>
  </si>
  <si>
    <t xml:space="preserve">2019-08-23 13:15:00.929989 </t>
  </si>
  <si>
    <t xml:space="preserve">2019-08-23 13:15:00.931089 </t>
  </si>
  <si>
    <t xml:space="preserve"> 0:00:00.001100 </t>
  </si>
  <si>
    <t xml:space="preserve">2019-08-23 13:15:02.447154 </t>
  </si>
  <si>
    <t xml:space="preserve">2019-08-23 13:15:02.447974 </t>
  </si>
  <si>
    <t xml:space="preserve"> 0:00:00.000820 </t>
  </si>
  <si>
    <t xml:space="preserve">2019-08-23 13:15:03.963690 </t>
  </si>
  <si>
    <t xml:space="preserve">2019-08-23 13:15:03.964711 </t>
  </si>
  <si>
    <t xml:space="preserve"> 0:00:00.001021 </t>
  </si>
  <si>
    <t xml:space="preserve">2019-08-23 13:15:05.479633 </t>
  </si>
  <si>
    <t xml:space="preserve">2019-08-23 13:15:05.480369 </t>
  </si>
  <si>
    <t xml:space="preserve"> 0:00:00.000736 </t>
  </si>
  <si>
    <t xml:space="preserve">2019-08-23 13:15:06.996506 </t>
  </si>
  <si>
    <t xml:space="preserve">2019-08-23 13:15:06.997693 </t>
  </si>
  <si>
    <t xml:space="preserve"> 0:00:00.001187 </t>
  </si>
  <si>
    <t xml:space="preserve">2019-08-23 13:15:08.513681 </t>
  </si>
  <si>
    <t xml:space="preserve">2019-08-23 13:15:08.515037 </t>
  </si>
  <si>
    <t xml:space="preserve"> 0:00:00.001356 </t>
  </si>
  <si>
    <t xml:space="preserve">2019-08-23 13:15:10.029718 </t>
  </si>
  <si>
    <t xml:space="preserve">2019-08-23 13:15:10.030782 </t>
  </si>
  <si>
    <t xml:space="preserve"> 0:00:00.001064 </t>
  </si>
  <si>
    <t xml:space="preserve">2019-08-23 13:15:11.547294 </t>
  </si>
  <si>
    <t xml:space="preserve">2019-08-23 13:15:11.548407 </t>
  </si>
  <si>
    <t xml:space="preserve"> 0:00:00.001113 </t>
  </si>
  <si>
    <t xml:space="preserve">2019-08-23 13:15:13.063418 </t>
  </si>
  <si>
    <t xml:space="preserve">2019-08-23 13:15:13.064343 </t>
  </si>
  <si>
    <t xml:space="preserve"> 0:00:00.000925 </t>
  </si>
  <si>
    <t xml:space="preserve">2019-08-23 13:15:14.577357 </t>
  </si>
  <si>
    <t xml:space="preserve">2019-08-23 13:15:14.578335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</si>
</sst>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quotePrefix="1"/>
    <xf numFmtId="0" fontId="0" fillId="2" borderId="0" xfId="0" applyFill="1"/>
    <xf numFmtId="0" fontId="0" fillId="2" borderId="0" xfId="0" quotePrefix="1" applyFill="1"/>
    <xf numFmtId="0" fontId="0" fillId="3" borderId="0" xfId="0" applyFill="1"/>
    <xf numFmtId="0" fontId="0" fillId="3" borderId="0" xfId="0" quotePrefix="1" applyFill="1"/>
    <xf numFmtId="0" fontId="0" fillId="4" borderId="0" xfId="0" applyFill="1"/>
    <xf numFmtId="0" fontId="0" fillId="4" borderId="0" xfId="0" quotePrefix="1" applyFill="1"/>
    <xf numFmtId="0" fontId="0" fillId="5" borderId="0" xfId="0" applyFill="1"/>
    <xf numFmtId="0" fontId="0" fillId="5" borderId="0" xfId="0" quotePrefix="1" applyFill="1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6" borderId="0" xfId="0" applyFill="1"/>
    <xf numFmtId="0" fontId="0" fillId="2" borderId="0" xfId="0" applyFill="1" applyBorder="1"/>
    <xf numFmtId="0" fontId="0" fillId="2" borderId="0" xfId="0" quotePrefix="1" applyFill="1" applyBorder="1"/>
    <xf numFmtId="0" fontId="0" fillId="6" borderId="0" xfId="0" applyFill="1" applyBorder="1"/>
    <xf numFmtId="0" fontId="0" fillId="5" borderId="0" xfId="0" applyFill="1" applyBorder="1"/>
    <xf numFmtId="0" fontId="0" fillId="5" borderId="0" xfId="0" quotePrefix="1" applyFill="1" applyBorder="1"/>
    <xf numFmtId="0" fontId="0" fillId="5" borderId="1" xfId="0" applyFill="1" applyBorder="1"/>
    <xf numFmtId="0" fontId="0" fillId="5" borderId="1" xfId="0" quotePrefix="1" applyFill="1" applyBorder="1"/>
    <xf numFmtId="0" fontId="0" fillId="3" borderId="1" xfId="0" applyFill="1" applyBorder="1"/>
    <xf numFmtId="0" fontId="0" fillId="3" borderId="1" xfId="0" quotePrefix="1" applyFill="1" applyBorder="1"/>
    <xf numFmtId="0" fontId="0" fillId="2" borderId="2" xfId="0" applyFill="1" applyBorder="1"/>
    <xf numFmtId="0" fontId="0" fillId="2" borderId="2" xfId="0" quotePrefix="1" applyFill="1" applyBorder="1"/>
    <xf numFmtId="0" fontId="0" fillId="6" borderId="2" xfId="0" applyFill="1" applyBorder="1"/>
    <xf numFmtId="0" fontId="0" fillId="7" borderId="0" xfId="0" applyFill="1"/>
    <xf numFmtId="0" fontId="0" fillId="7" borderId="0" xfId="0" applyFill="1" applyBorder="1"/>
    <xf numFmtId="0" fontId="0" fillId="7" borderId="1" xfId="0" applyFill="1" applyBorder="1"/>
    <xf numFmtId="0" fontId="0" fillId="0" borderId="0" xfId="0" applyFill="1" applyAlignment="1">
      <alignment horizontal="center" vertical="center" wrapText="1"/>
    </xf>
    <xf numFmtId="0" fontId="0" fillId="0" borderId="0" xfId="0" applyFill="1"/>
    <xf numFmtId="0" fontId="0" fillId="0" borderId="0" xfId="0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5" xfId="0" quotePrefix="1" applyBorder="1"/>
    <xf numFmtId="0" fontId="0" fillId="0" borderId="6" xfId="0" quotePrefix="1" applyBorder="1"/>
    <xf numFmtId="0" fontId="0" fillId="0" borderId="7" xfId="0" applyBorder="1"/>
    <xf numFmtId="0" fontId="0" fillId="0" borderId="8" xfId="0" applyBorder="1"/>
    <xf numFmtId="0" fontId="0" fillId="0" borderId="5" xfId="0" applyFill="1" applyBorder="1"/>
    <xf numFmtId="0" fontId="0" fillId="0" borderId="10" xfId="0" applyBorder="1"/>
    <xf numFmtId="0" fontId="0" fillId="0" borderId="11" xfId="0" applyBorder="1"/>
    <xf numFmtId="0" fontId="0" fillId="0" borderId="10" xfId="0" quotePrefix="1" applyBorder="1"/>
    <xf numFmtId="0" fontId="0" fillId="0" borderId="11" xfId="0" quotePrefix="1" applyBorder="1"/>
    <xf numFmtId="0" fontId="0" fillId="0" borderId="12" xfId="0" quotePrefix="1" applyBorder="1"/>
    <xf numFmtId="0" fontId="0" fillId="0" borderId="13" xfId="0" quotePrefix="1" applyBorder="1"/>
    <xf numFmtId="0" fontId="0" fillId="0" borderId="12" xfId="0" applyBorder="1"/>
    <xf numFmtId="0" fontId="0" fillId="9" borderId="3" xfId="0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32"/>
  <sheetViews>
    <sheetView tabSelected="1" workbookViewId="0"/>
  </sheetViews>
  <sheetFormatPr defaultRowHeight="15" x14ac:dyDescent="0.25"/>
  <cols>
    <col min="2" max="2" width="30" customWidth="1"/>
    <col min="3" max="3" width="76.28515625" customWidth="1"/>
  </cols>
  <sheetData>
    <row r="2" spans="2:3" ht="15.75" thickBot="1" x14ac:dyDescent="0.3"/>
    <row r="3" spans="2:3" ht="15.75" thickBot="1" x14ac:dyDescent="0.3">
      <c r="B3" s="52" t="s">
        <v>300</v>
      </c>
      <c r="C3" s="54" t="s">
        <v>283</v>
      </c>
    </row>
    <row r="4" spans="2:3" x14ac:dyDescent="0.25">
      <c r="B4" s="45" t="s">
        <v>16</v>
      </c>
      <c r="C4" s="37" t="s">
        <v>284</v>
      </c>
    </row>
    <row r="5" spans="2:3" x14ac:dyDescent="0.25">
      <c r="B5" s="45" t="s">
        <v>126</v>
      </c>
      <c r="C5" s="38" t="s">
        <v>285</v>
      </c>
    </row>
    <row r="6" spans="2:3" x14ac:dyDescent="0.25">
      <c r="B6" s="45" t="s">
        <v>0</v>
      </c>
      <c r="C6" s="38" t="s">
        <v>286</v>
      </c>
    </row>
    <row r="7" spans="2:3" x14ac:dyDescent="0.25">
      <c r="B7" s="45" t="s">
        <v>1</v>
      </c>
      <c r="C7" s="38" t="s">
        <v>287</v>
      </c>
    </row>
    <row r="8" spans="2:3" x14ac:dyDescent="0.25">
      <c r="B8" s="45" t="s">
        <v>14</v>
      </c>
      <c r="C8" s="38" t="s">
        <v>288</v>
      </c>
    </row>
    <row r="9" spans="2:3" x14ac:dyDescent="0.25">
      <c r="B9" s="45" t="s">
        <v>15</v>
      </c>
      <c r="C9" s="38" t="s">
        <v>289</v>
      </c>
    </row>
    <row r="10" spans="2:3" x14ac:dyDescent="0.25">
      <c r="B10" s="45" t="s">
        <v>17</v>
      </c>
      <c r="C10" s="38" t="s">
        <v>290</v>
      </c>
    </row>
    <row r="11" spans="2:3" x14ac:dyDescent="0.25">
      <c r="B11" s="45" t="s">
        <v>61</v>
      </c>
      <c r="C11" s="38" t="s">
        <v>292</v>
      </c>
    </row>
    <row r="12" spans="2:3" x14ac:dyDescent="0.25">
      <c r="B12" s="45" t="s">
        <v>62</v>
      </c>
      <c r="C12" s="38" t="s">
        <v>293</v>
      </c>
    </row>
    <row r="13" spans="2:3" x14ac:dyDescent="0.25">
      <c r="B13" s="45" t="s">
        <v>60</v>
      </c>
      <c r="C13" s="38" t="s">
        <v>291</v>
      </c>
    </row>
    <row r="14" spans="2:3" x14ac:dyDescent="0.25">
      <c r="B14" s="45" t="s">
        <v>7</v>
      </c>
      <c r="C14" s="38" t="s">
        <v>299</v>
      </c>
    </row>
    <row r="15" spans="2:3" x14ac:dyDescent="0.25">
      <c r="B15" s="45" t="s">
        <v>8</v>
      </c>
      <c r="C15" s="44" t="s">
        <v>294</v>
      </c>
    </row>
    <row r="16" spans="2:3" x14ac:dyDescent="0.25">
      <c r="B16" s="45" t="s">
        <v>13</v>
      </c>
      <c r="C16" s="44" t="s">
        <v>295</v>
      </c>
    </row>
    <row r="17" spans="2:3" x14ac:dyDescent="0.25">
      <c r="B17" s="45" t="s">
        <v>9</v>
      </c>
      <c r="C17" s="38" t="s">
        <v>296</v>
      </c>
    </row>
    <row r="18" spans="2:3" x14ac:dyDescent="0.25">
      <c r="B18" s="45" t="s">
        <v>10</v>
      </c>
      <c r="C18" s="38" t="s">
        <v>297</v>
      </c>
    </row>
    <row r="19" spans="2:3" x14ac:dyDescent="0.25">
      <c r="B19" s="45" t="s">
        <v>12</v>
      </c>
      <c r="C19" s="38" t="s">
        <v>307</v>
      </c>
    </row>
    <row r="20" spans="2:3" x14ac:dyDescent="0.25">
      <c r="B20" s="45" t="s">
        <v>11</v>
      </c>
      <c r="C20" s="38" t="s">
        <v>298</v>
      </c>
    </row>
    <row r="21" spans="2:3" ht="15.75" thickBot="1" x14ac:dyDescent="0.3">
      <c r="B21" s="46" t="s">
        <v>279</v>
      </c>
      <c r="C21" s="39" t="s">
        <v>302</v>
      </c>
    </row>
    <row r="23" spans="2:3" ht="15.75" thickBot="1" x14ac:dyDescent="0.3"/>
    <row r="24" spans="2:3" ht="15.75" thickBot="1" x14ac:dyDescent="0.3">
      <c r="B24" s="52" t="s">
        <v>301</v>
      </c>
      <c r="C24" s="54" t="s">
        <v>283</v>
      </c>
    </row>
    <row r="25" spans="2:3" x14ac:dyDescent="0.25">
      <c r="B25" s="45" t="s">
        <v>16</v>
      </c>
      <c r="C25" s="37" t="s">
        <v>284</v>
      </c>
    </row>
    <row r="26" spans="2:3" x14ac:dyDescent="0.25">
      <c r="B26" s="45" t="s">
        <v>170</v>
      </c>
      <c r="C26" s="38" t="s">
        <v>303</v>
      </c>
    </row>
    <row r="27" spans="2:3" x14ac:dyDescent="0.25">
      <c r="B27" s="45" t="s">
        <v>171</v>
      </c>
      <c r="C27" s="38" t="s">
        <v>304</v>
      </c>
    </row>
    <row r="28" spans="2:3" x14ac:dyDescent="0.25">
      <c r="B28" s="45" t="s">
        <v>172</v>
      </c>
      <c r="C28" s="38" t="s">
        <v>305</v>
      </c>
    </row>
    <row r="29" spans="2:3" x14ac:dyDescent="0.25">
      <c r="B29" s="45" t="s">
        <v>173</v>
      </c>
      <c r="C29" s="38" t="s">
        <v>306</v>
      </c>
    </row>
    <row r="30" spans="2:3" x14ac:dyDescent="0.25">
      <c r="B30" s="45" t="s">
        <v>174</v>
      </c>
      <c r="C30" s="38" t="s">
        <v>297</v>
      </c>
    </row>
    <row r="31" spans="2:3" x14ac:dyDescent="0.25">
      <c r="B31" s="45" t="s">
        <v>175</v>
      </c>
      <c r="C31" s="38" t="s">
        <v>298</v>
      </c>
    </row>
    <row r="32" spans="2:3" ht="15.75" thickBot="1" x14ac:dyDescent="0.3">
      <c r="B32" s="46" t="s">
        <v>280</v>
      </c>
      <c r="C32" s="39" t="s">
        <v>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39"/>
  <sheetViews>
    <sheetView workbookViewId="0"/>
  </sheetViews>
  <sheetFormatPr defaultRowHeight="15" x14ac:dyDescent="0.25"/>
  <cols>
    <col min="2" max="2" width="30" customWidth="1"/>
    <col min="3" max="3" width="76.28515625" customWidth="1"/>
  </cols>
  <sheetData>
    <row r="2" spans="2:3" ht="15.75" thickBot="1" x14ac:dyDescent="0.3"/>
    <row r="3" spans="2:3" ht="15.75" thickBot="1" x14ac:dyDescent="0.3">
      <c r="B3" s="52" t="s">
        <v>1</v>
      </c>
      <c r="C3" s="53" t="s">
        <v>282</v>
      </c>
    </row>
    <row r="4" spans="2:3" x14ac:dyDescent="0.25">
      <c r="B4" s="45" t="s">
        <v>2</v>
      </c>
      <c r="C4" s="40" t="s">
        <v>18</v>
      </c>
    </row>
    <row r="5" spans="2:3" x14ac:dyDescent="0.25">
      <c r="B5" s="45" t="s">
        <v>3</v>
      </c>
      <c r="C5" s="40" t="s">
        <v>24</v>
      </c>
    </row>
    <row r="6" spans="2:3" x14ac:dyDescent="0.25">
      <c r="B6" s="45" t="s">
        <v>4</v>
      </c>
      <c r="C6" s="40" t="s">
        <v>19</v>
      </c>
    </row>
    <row r="7" spans="2:3" x14ac:dyDescent="0.25">
      <c r="B7" s="45" t="s">
        <v>5</v>
      </c>
      <c r="C7" s="40" t="s">
        <v>20</v>
      </c>
    </row>
    <row r="8" spans="2:3" ht="15.75" thickBot="1" x14ac:dyDescent="0.3">
      <c r="B8" s="46" t="s">
        <v>6</v>
      </c>
      <c r="C8" s="41" t="s">
        <v>21</v>
      </c>
    </row>
    <row r="10" spans="2:3" ht="15.75" thickBot="1" x14ac:dyDescent="0.3"/>
    <row r="11" spans="2:3" ht="15.75" thickBot="1" x14ac:dyDescent="0.3">
      <c r="B11" s="52" t="s">
        <v>14</v>
      </c>
      <c r="C11" s="53" t="s">
        <v>283</v>
      </c>
    </row>
    <row r="12" spans="2:3" x14ac:dyDescent="0.25">
      <c r="B12" s="47" t="s">
        <v>23</v>
      </c>
      <c r="C12" s="38" t="s">
        <v>25</v>
      </c>
    </row>
    <row r="13" spans="2:3" x14ac:dyDescent="0.25">
      <c r="B13" s="47" t="s">
        <v>18</v>
      </c>
      <c r="C13" s="38" t="s">
        <v>111</v>
      </c>
    </row>
    <row r="14" spans="2:3" x14ac:dyDescent="0.25">
      <c r="B14" s="47" t="s">
        <v>24</v>
      </c>
      <c r="C14" s="38" t="s">
        <v>26</v>
      </c>
    </row>
    <row r="15" spans="2:3" x14ac:dyDescent="0.25">
      <c r="B15" s="47" t="s">
        <v>19</v>
      </c>
      <c r="C15" s="38" t="s">
        <v>27</v>
      </c>
    </row>
    <row r="16" spans="2:3" x14ac:dyDescent="0.25">
      <c r="B16" s="47" t="s">
        <v>20</v>
      </c>
      <c r="C16" s="38" t="s">
        <v>28</v>
      </c>
    </row>
    <row r="17" spans="2:3" x14ac:dyDescent="0.25">
      <c r="B17" s="47" t="s">
        <v>21</v>
      </c>
      <c r="C17" s="38" t="s">
        <v>30</v>
      </c>
    </row>
    <row r="18" spans="2:3" ht="15.75" thickBot="1" x14ac:dyDescent="0.3">
      <c r="B18" s="48" t="s">
        <v>22</v>
      </c>
      <c r="C18" s="39" t="s">
        <v>29</v>
      </c>
    </row>
    <row r="19" spans="2:3" x14ac:dyDescent="0.25">
      <c r="B19" s="2"/>
    </row>
    <row r="20" spans="2:3" ht="15.75" thickBot="1" x14ac:dyDescent="0.3"/>
    <row r="21" spans="2:3" ht="15.75" thickBot="1" x14ac:dyDescent="0.3">
      <c r="B21" s="52" t="s">
        <v>15</v>
      </c>
      <c r="C21" s="53" t="s">
        <v>283</v>
      </c>
    </row>
    <row r="22" spans="2:3" x14ac:dyDescent="0.25">
      <c r="B22" s="49" t="s">
        <v>41</v>
      </c>
      <c r="C22" s="42" t="s">
        <v>25</v>
      </c>
    </row>
    <row r="23" spans="2:3" x14ac:dyDescent="0.25">
      <c r="B23" s="50" t="s">
        <v>40</v>
      </c>
      <c r="C23" s="43" t="s">
        <v>110</v>
      </c>
    </row>
    <row r="24" spans="2:3" x14ac:dyDescent="0.25">
      <c r="B24" s="49" t="s">
        <v>42</v>
      </c>
      <c r="C24" s="42" t="s">
        <v>112</v>
      </c>
    </row>
    <row r="25" spans="2:3" x14ac:dyDescent="0.25">
      <c r="B25" s="50" t="s">
        <v>43</v>
      </c>
      <c r="C25" s="43" t="s">
        <v>31</v>
      </c>
    </row>
    <row r="26" spans="2:3" x14ac:dyDescent="0.25">
      <c r="B26" s="47" t="s">
        <v>95</v>
      </c>
      <c r="C26" s="38" t="s">
        <v>32</v>
      </c>
    </row>
    <row r="27" spans="2:3" x14ac:dyDescent="0.25">
      <c r="B27" s="51" t="s">
        <v>96</v>
      </c>
      <c r="C27" s="42" t="s">
        <v>33</v>
      </c>
    </row>
    <row r="28" spans="2:3" x14ac:dyDescent="0.25">
      <c r="B28" s="51" t="s">
        <v>44</v>
      </c>
      <c r="C28" s="42" t="s">
        <v>27</v>
      </c>
    </row>
    <row r="29" spans="2:3" x14ac:dyDescent="0.25">
      <c r="B29" s="45" t="s">
        <v>45</v>
      </c>
      <c r="C29" s="38" t="s">
        <v>74</v>
      </c>
    </row>
    <row r="30" spans="2:3" x14ac:dyDescent="0.25">
      <c r="B30" s="45" t="s">
        <v>46</v>
      </c>
      <c r="C30" s="38" t="s">
        <v>123</v>
      </c>
    </row>
    <row r="31" spans="2:3" x14ac:dyDescent="0.25">
      <c r="B31" s="45" t="s">
        <v>87</v>
      </c>
      <c r="C31" s="38" t="s">
        <v>34</v>
      </c>
    </row>
    <row r="32" spans="2:3" x14ac:dyDescent="0.25">
      <c r="B32" s="45" t="s">
        <v>100</v>
      </c>
      <c r="C32" s="38" t="s">
        <v>63</v>
      </c>
    </row>
    <row r="33" spans="2:3" x14ac:dyDescent="0.25">
      <c r="B33" s="45" t="s">
        <v>99</v>
      </c>
      <c r="C33" s="44" t="s">
        <v>113</v>
      </c>
    </row>
    <row r="34" spans="2:3" x14ac:dyDescent="0.25">
      <c r="B34" s="45" t="s">
        <v>115</v>
      </c>
      <c r="C34" s="44" t="s">
        <v>114</v>
      </c>
    </row>
    <row r="35" spans="2:3" x14ac:dyDescent="0.25">
      <c r="B35" s="51" t="s">
        <v>116</v>
      </c>
      <c r="C35" s="42" t="s">
        <v>35</v>
      </c>
    </row>
    <row r="36" spans="2:3" x14ac:dyDescent="0.25">
      <c r="B36" s="45" t="s">
        <v>47</v>
      </c>
      <c r="C36" s="38" t="s">
        <v>36</v>
      </c>
    </row>
    <row r="37" spans="2:3" x14ac:dyDescent="0.25">
      <c r="B37" s="51" t="s">
        <v>48</v>
      </c>
      <c r="C37" s="42" t="s">
        <v>37</v>
      </c>
    </row>
    <row r="38" spans="2:3" x14ac:dyDescent="0.25">
      <c r="B38" s="45" t="s">
        <v>98</v>
      </c>
      <c r="C38" s="38" t="s">
        <v>38</v>
      </c>
    </row>
    <row r="39" spans="2:3" ht="15.75" thickBot="1" x14ac:dyDescent="0.3">
      <c r="B39" s="46" t="s">
        <v>97</v>
      </c>
      <c r="C39" s="39" t="s">
        <v>39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5"/>
  <sheetViews>
    <sheetView zoomScale="55" zoomScaleNormal="55" workbookViewId="0">
      <pane ySplit="1" topLeftCell="A2" activePane="bottomLeft" state="frozen"/>
      <selection activeCell="I1" sqref="I1"/>
      <selection pane="bottomLeft"/>
    </sheetView>
  </sheetViews>
  <sheetFormatPr defaultRowHeight="15" x14ac:dyDescent="0.25"/>
  <cols>
    <col min="3" max="3" width="21.7109375" customWidth="1"/>
    <col min="4" max="4" width="16.42578125" customWidth="1"/>
    <col min="5" max="7" width="9.85546875" customWidth="1"/>
    <col min="8" max="8" width="45.85546875" customWidth="1"/>
    <col min="9" max="9" width="57" customWidth="1"/>
    <col min="10" max="10" width="63.85546875" style="31" customWidth="1"/>
    <col min="11" max="11" width="10.85546875" customWidth="1"/>
    <col min="12" max="12" width="43.140625" customWidth="1"/>
    <col min="13" max="13" width="86.28515625" customWidth="1"/>
    <col min="14" max="15" width="19.85546875" customWidth="1"/>
    <col min="16" max="16" width="13.28515625" style="32" customWidth="1"/>
    <col min="17" max="17" width="172.5703125" customWidth="1"/>
    <col min="18" max="18" width="30.140625" customWidth="1"/>
  </cols>
  <sheetData>
    <row r="1" spans="1:29" s="1" customFormat="1" ht="42" customHeight="1" x14ac:dyDescent="0.25">
      <c r="A1" s="1" t="s">
        <v>16</v>
      </c>
      <c r="B1" s="1" t="s">
        <v>126</v>
      </c>
      <c r="C1" s="1" t="s">
        <v>0</v>
      </c>
      <c r="D1" s="1" t="s">
        <v>1</v>
      </c>
      <c r="E1" s="1" t="s">
        <v>14</v>
      </c>
      <c r="F1" s="1" t="s">
        <v>15</v>
      </c>
      <c r="G1" s="1" t="s">
        <v>17</v>
      </c>
      <c r="H1" s="1" t="s">
        <v>61</v>
      </c>
      <c r="I1" s="1" t="s">
        <v>62</v>
      </c>
      <c r="J1" s="30" t="s">
        <v>60</v>
      </c>
      <c r="K1" s="1" t="s">
        <v>7</v>
      </c>
      <c r="L1" s="1" t="s">
        <v>8</v>
      </c>
      <c r="M1" s="1" t="s">
        <v>13</v>
      </c>
      <c r="N1" s="1" t="s">
        <v>9</v>
      </c>
      <c r="O1" s="1" t="s">
        <v>10</v>
      </c>
      <c r="P1" s="1" t="s">
        <v>12</v>
      </c>
      <c r="Q1" s="1" t="s">
        <v>11</v>
      </c>
      <c r="R1" s="1" t="s">
        <v>279</v>
      </c>
    </row>
    <row r="2" spans="1:29" x14ac:dyDescent="0.25">
      <c r="A2">
        <v>1</v>
      </c>
      <c r="B2">
        <v>1</v>
      </c>
      <c r="C2" t="str">
        <f>"R"&amp;VLOOKUP(D2,'Описание значений'!$B$4:$C$8,2,FALSE)&amp;"_G"&amp;F2&amp;"_N"&amp;TEXT(G2,"00")</f>
        <v>R01_G00t01_N01</v>
      </c>
      <c r="D2" s="3" t="s">
        <v>2</v>
      </c>
      <c r="E2" s="4" t="s">
        <v>23</v>
      </c>
      <c r="F2" s="4" t="s">
        <v>41</v>
      </c>
      <c r="G2" s="3">
        <v>1</v>
      </c>
      <c r="H2" t="str">
        <f>VLOOKUP(E2,'Описание значений'!$B$11:$C$18,2,FALSE)</f>
        <v>Верный запрос</v>
      </c>
      <c r="I2" t="str">
        <f>VLOOKUP(F2,'Описание значений'!$B$21:$C$39,2,FALSE)</f>
        <v>Верный запрос</v>
      </c>
      <c r="J2" s="14" t="s">
        <v>49</v>
      </c>
      <c r="K2">
        <v>1</v>
      </c>
      <c r="L2" t="str">
        <f>"Testing/Data_to_import/"&amp;LEFT(D2,SEARCH(" ",D2)-1)&amp;"/cit1.json"</f>
        <v>Testing/Data_to_import/POST/cit1.json</v>
      </c>
      <c r="M2" t="str">
        <f>"curl -X POST -d ""@"&amp;L2&amp;""" 0.0.0.0:8080/imports"</f>
        <v>curl -X POST -d "@Testing/Data_to_import/POST/cit1.json" 0.0.0.0:8080/imports</v>
      </c>
      <c r="N2" s="14">
        <v>201</v>
      </c>
      <c r="O2" s="14">
        <f>LOGS!F2</f>
        <v>201</v>
      </c>
      <c r="P2" s="33" t="str">
        <f>IF(O2=N2,"OK","FAIL")</f>
        <v>OK</v>
      </c>
      <c r="Q2" s="14" t="str">
        <f>LOGS!G2</f>
        <v xml:space="preserve"> {'import_id': 1}</v>
      </c>
      <c r="R2">
        <f>LOGS!H2</f>
        <v>3.5671000000000001E-2</v>
      </c>
      <c r="AC2" t="s">
        <v>278</v>
      </c>
    </row>
    <row r="3" spans="1:29" x14ac:dyDescent="0.25">
      <c r="A3">
        <v>2</v>
      </c>
      <c r="B3">
        <v>2</v>
      </c>
      <c r="C3" t="str">
        <f>"R"&amp;VLOOKUP(D3,'Описание значений'!$B$4:$C$8,2,FALSE)&amp;"_G"&amp;F3&amp;"_N"&amp;TEXT(G3,"00")</f>
        <v>R01_G00t01_N02</v>
      </c>
      <c r="D3" s="3" t="s">
        <v>2</v>
      </c>
      <c r="E3" s="4" t="s">
        <v>23</v>
      </c>
      <c r="F3" s="4" t="s">
        <v>41</v>
      </c>
      <c r="G3" s="3">
        <v>2</v>
      </c>
      <c r="H3" t="str">
        <f>VLOOKUP(E3,'Описание значений'!$B$11:$C$18,2,FALSE)</f>
        <v>Верный запрос</v>
      </c>
      <c r="I3" t="str">
        <f>VLOOKUP(F3,'Описание значений'!$B$21:$C$39,2,FALSE)</f>
        <v>Верный запрос</v>
      </c>
      <c r="J3" s="14" t="s">
        <v>50</v>
      </c>
      <c r="K3">
        <v>1</v>
      </c>
      <c r="L3" t="str">
        <f>"Testing/Data_to_import/"&amp;LEFT(D3,SEARCH(" ",D3)-1)&amp;"/cit10.json"</f>
        <v>Testing/Data_to_import/POST/cit10.json</v>
      </c>
      <c r="M3" t="str">
        <f t="shared" ref="M3:M64" si="0">"curl -X POST -d ""@"&amp;L3&amp;""" 0.0.0.0:8080/imports"</f>
        <v>curl -X POST -d "@Testing/Data_to_import/POST/cit10.json" 0.0.0.0:8080/imports</v>
      </c>
      <c r="N3" s="14">
        <v>201</v>
      </c>
      <c r="O3" s="14">
        <f>LOGS!F3</f>
        <v>201</v>
      </c>
      <c r="P3" s="33" t="str">
        <f t="shared" ref="P3:P66" si="1">IF(O3=N3,"OK","FAIL")</f>
        <v>OK</v>
      </c>
      <c r="Q3" s="14" t="str">
        <f>LOGS!G3</f>
        <v xml:space="preserve"> {'import_id': 2}</v>
      </c>
      <c r="R3">
        <f>LOGS!H3</f>
        <v>4.3360000000000003E-2</v>
      </c>
    </row>
    <row r="4" spans="1:29" x14ac:dyDescent="0.25">
      <c r="A4">
        <v>3</v>
      </c>
      <c r="B4">
        <v>3</v>
      </c>
      <c r="C4" t="str">
        <f>"R"&amp;VLOOKUP(D4,'Описание значений'!$B$4:$C$8,2,FALSE)&amp;"_G"&amp;F4&amp;"_N"&amp;TEXT(G4,"00")</f>
        <v>R01_G00t01_N03</v>
      </c>
      <c r="D4" s="3" t="s">
        <v>2</v>
      </c>
      <c r="E4" s="4" t="s">
        <v>23</v>
      </c>
      <c r="F4" s="4" t="s">
        <v>41</v>
      </c>
      <c r="G4" s="3">
        <v>3</v>
      </c>
      <c r="H4" t="str">
        <f>VLOOKUP(E4,'Описание значений'!$B$11:$C$18,2,FALSE)</f>
        <v>Верный запрос</v>
      </c>
      <c r="I4" t="str">
        <f>VLOOKUP(F4,'Описание значений'!$B$21:$C$39,2,FALSE)</f>
        <v>Верный запрос</v>
      </c>
      <c r="J4" s="14" t="s">
        <v>53</v>
      </c>
      <c r="K4">
        <v>1</v>
      </c>
      <c r="L4" t="str">
        <f>"Testing/Data_to_import/"&amp;LEFT(D4,SEARCH(" ",D4)-1)&amp;"/cit100.json"</f>
        <v>Testing/Data_to_import/POST/cit100.json</v>
      </c>
      <c r="M4" t="str">
        <f t="shared" si="0"/>
        <v>curl -X POST -d "@Testing/Data_to_import/POST/cit100.json" 0.0.0.0:8080/imports</v>
      </c>
      <c r="N4" s="14">
        <v>201</v>
      </c>
      <c r="O4" s="14">
        <f>LOGS!F4</f>
        <v>201</v>
      </c>
      <c r="P4" s="33" t="str">
        <f t="shared" si="1"/>
        <v>OK</v>
      </c>
      <c r="Q4" s="14" t="str">
        <f>LOGS!G4</f>
        <v xml:space="preserve"> {'import_id': 3}</v>
      </c>
      <c r="R4">
        <f>LOGS!H4</f>
        <v>6.8024000000000001E-2</v>
      </c>
    </row>
    <row r="5" spans="1:29" x14ac:dyDescent="0.25">
      <c r="A5">
        <v>4</v>
      </c>
      <c r="B5">
        <v>4</v>
      </c>
      <c r="C5" t="str">
        <f>"R"&amp;VLOOKUP(D5,'Описание значений'!$B$4:$C$8,2,FALSE)&amp;"_G"&amp;F5&amp;"_N"&amp;TEXT(G5,"00")</f>
        <v>R01_G00t01_N04</v>
      </c>
      <c r="D5" s="3" t="s">
        <v>2</v>
      </c>
      <c r="E5" s="4" t="s">
        <v>23</v>
      </c>
      <c r="F5" s="4" t="s">
        <v>41</v>
      </c>
      <c r="G5" s="3">
        <v>4</v>
      </c>
      <c r="H5" t="str">
        <f>VLOOKUP(E5,'Описание значений'!$B$11:$C$18,2,FALSE)</f>
        <v>Верный запрос</v>
      </c>
      <c r="I5" t="str">
        <f>VLOOKUP(F5,'Описание значений'!$B$21:$C$39,2,FALSE)</f>
        <v>Верный запрос</v>
      </c>
      <c r="J5" s="14" t="s">
        <v>51</v>
      </c>
      <c r="K5">
        <v>1</v>
      </c>
      <c r="L5" t="str">
        <f>"Testing/Data_to_import/"&amp;LEFT(D5,SEARCH(" ",D5)-1)&amp;"/cit1000.json"</f>
        <v>Testing/Data_to_import/POST/cit1000.json</v>
      </c>
      <c r="M5" t="str">
        <f t="shared" si="0"/>
        <v>curl -X POST -d "@Testing/Data_to_import/POST/cit1000.json" 0.0.0.0:8080/imports</v>
      </c>
      <c r="N5" s="14">
        <v>201</v>
      </c>
      <c r="O5" s="14">
        <f>LOGS!F5</f>
        <v>201</v>
      </c>
      <c r="P5" s="33" t="str">
        <f t="shared" si="1"/>
        <v>OK</v>
      </c>
      <c r="Q5" s="14" t="str">
        <f>LOGS!G5</f>
        <v xml:space="preserve"> {'import_id': 4}</v>
      </c>
      <c r="R5">
        <f>LOGS!H5</f>
        <v>0.135905</v>
      </c>
    </row>
    <row r="6" spans="1:29" x14ac:dyDescent="0.25">
      <c r="A6">
        <v>5</v>
      </c>
      <c r="B6">
        <v>5</v>
      </c>
      <c r="C6" t="str">
        <f>"R"&amp;VLOOKUP(D6,'Описание значений'!$B$4:$C$8,2,FALSE)&amp;"_G"&amp;F6&amp;"_N"&amp;TEXT(G6,"00")</f>
        <v>R01_G00t01_N05</v>
      </c>
      <c r="D6" s="3" t="s">
        <v>2</v>
      </c>
      <c r="E6" s="4" t="s">
        <v>23</v>
      </c>
      <c r="F6" s="4" t="s">
        <v>41</v>
      </c>
      <c r="G6" s="3">
        <v>5</v>
      </c>
      <c r="H6" t="str">
        <f>VLOOKUP(E6,'Описание значений'!$B$11:$C$18,2,FALSE)</f>
        <v>Верный запрос</v>
      </c>
      <c r="I6" t="str">
        <f>VLOOKUP(F6,'Описание значений'!$B$21:$C$39,2,FALSE)</f>
        <v>Верный запрос</v>
      </c>
      <c r="J6" s="14" t="s">
        <v>52</v>
      </c>
      <c r="K6">
        <v>1</v>
      </c>
      <c r="L6" t="str">
        <f>"Testing/Data_to_import/"&amp;LEFT(D6,SEARCH(" ",D6)-1)&amp;"/cit10000.json"</f>
        <v>Testing/Data_to_import/POST/cit10000.json</v>
      </c>
      <c r="M6" t="str">
        <f t="shared" si="0"/>
        <v>curl -X POST -d "@Testing/Data_to_import/POST/cit10000.json" 0.0.0.0:8080/imports</v>
      </c>
      <c r="N6" s="14">
        <v>201</v>
      </c>
      <c r="O6" s="14">
        <f>LOGS!F6</f>
        <v>201</v>
      </c>
      <c r="P6" s="33" t="str">
        <f t="shared" si="1"/>
        <v>OK</v>
      </c>
      <c r="Q6" s="14" t="str">
        <f>LOGS!G6</f>
        <v xml:space="preserve"> {'import_id': 5}</v>
      </c>
      <c r="R6">
        <f>LOGS!H6</f>
        <v>0.76059600000000005</v>
      </c>
    </row>
    <row r="7" spans="1:29" x14ac:dyDescent="0.25">
      <c r="A7">
        <v>6</v>
      </c>
      <c r="B7">
        <v>6</v>
      </c>
      <c r="C7" t="str">
        <f>"R"&amp;VLOOKUP(D7,'Описание значений'!$B$4:$C$8,2,FALSE)&amp;"_G"&amp;F7&amp;"_N"&amp;TEXT(G7,"00")</f>
        <v>R01_G00t01_N06</v>
      </c>
      <c r="D7" s="3" t="s">
        <v>2</v>
      </c>
      <c r="E7" s="4" t="s">
        <v>23</v>
      </c>
      <c r="F7" s="4" t="s">
        <v>41</v>
      </c>
      <c r="G7" s="3">
        <v>6</v>
      </c>
      <c r="H7" t="str">
        <f>VLOOKUP(E7,'Описание значений'!$B$11:$C$18,2,FALSE)</f>
        <v>Верный запрос</v>
      </c>
      <c r="I7" t="str">
        <f>VLOOKUP(F7,'Описание значений'!$B$21:$C$39,2,FALSE)</f>
        <v>Верный запрос</v>
      </c>
      <c r="J7" s="14" t="s">
        <v>152</v>
      </c>
      <c r="K7">
        <v>1</v>
      </c>
      <c r="L7" t="str">
        <f>"Testing/Data_to_import/"&amp;LEFT(D7,SEARCH(" ",D7)-1)&amp;"/cit50000.json"</f>
        <v>Testing/Data_to_import/POST/cit50000.json</v>
      </c>
      <c r="M7" t="str">
        <f t="shared" si="0"/>
        <v>curl -X POST -d "@Testing/Data_to_import/POST/cit50000.json" 0.0.0.0:8080/imports</v>
      </c>
      <c r="N7" s="14">
        <v>201</v>
      </c>
      <c r="O7" s="14">
        <f>LOGS!F7</f>
        <v>201</v>
      </c>
      <c r="P7" s="33" t="str">
        <f t="shared" si="1"/>
        <v>OK</v>
      </c>
      <c r="Q7" s="14" t="str">
        <f>LOGS!G7</f>
        <v xml:space="preserve"> {'import_id': 6}</v>
      </c>
      <c r="R7">
        <f>LOGS!H7</f>
        <v>3.3115169999999998</v>
      </c>
    </row>
    <row r="8" spans="1:29" x14ac:dyDescent="0.25">
      <c r="A8">
        <v>7</v>
      </c>
      <c r="B8">
        <v>7</v>
      </c>
      <c r="C8" t="str">
        <f>"R"&amp;VLOOKUP(D8,'Описание значений'!$B$4:$C$8,2,FALSE)&amp;"_G"&amp;F8&amp;"_N"&amp;TEXT(G8,"00")</f>
        <v>R01_G01t01_N01</v>
      </c>
      <c r="D8" s="5" t="s">
        <v>2</v>
      </c>
      <c r="E8" s="6" t="s">
        <v>18</v>
      </c>
      <c r="F8" s="6" t="s">
        <v>40</v>
      </c>
      <c r="G8" s="5">
        <v>1</v>
      </c>
      <c r="H8" t="str">
        <f>VLOOKUP(E8,'Описание значений'!$B$11:$C$18,2,FALSE)</f>
        <v>Общая ошибка в формате входных данных</v>
      </c>
      <c r="I8" t="str">
        <f>VLOOKUP(F8,'Описание значений'!$B$21:$C$39,2,FALSE)</f>
        <v>Формат входных данных не JSON</v>
      </c>
      <c r="J8" s="27" t="s">
        <v>101</v>
      </c>
      <c r="K8">
        <v>1</v>
      </c>
      <c r="L8" t="str">
        <f t="shared" ref="L8:L64" si="2">"Testing/Data_to_import/"&amp;LEFT(D8,SEARCH(" ",D8)-1)&amp;"/d"&amp;B8&amp;".json"</f>
        <v>Testing/Data_to_import/POST/d7.json</v>
      </c>
      <c r="M8" t="str">
        <f t="shared" si="0"/>
        <v>curl -X POST -d "@Testing/Data_to_import/POST/d7.json" 0.0.0.0:8080/imports</v>
      </c>
      <c r="N8" s="27">
        <v>400</v>
      </c>
      <c r="O8" s="27">
        <f>LOGS!F8</f>
        <v>400</v>
      </c>
      <c r="P8" s="33" t="str">
        <f t="shared" si="1"/>
        <v>OK</v>
      </c>
      <c r="Q8" s="27" t="str">
        <f>LOGS!G8</f>
        <v xml:space="preserve"> Import data is not in JSON format</v>
      </c>
      <c r="R8">
        <f>LOGS!H8</f>
        <v>1.024E-3</v>
      </c>
    </row>
    <row r="9" spans="1:29" x14ac:dyDescent="0.25">
      <c r="A9">
        <v>8</v>
      </c>
      <c r="B9">
        <v>8</v>
      </c>
      <c r="C9" t="str">
        <f>"R"&amp;VLOOKUP(D9,'Описание значений'!$B$4:$C$8,2,FALSE)&amp;"_G"&amp;F9&amp;"_N"&amp;TEXT(G9,"00")</f>
        <v>R01_G01t01_N02</v>
      </c>
      <c r="D9" s="5" t="s">
        <v>2</v>
      </c>
      <c r="E9" s="6" t="s">
        <v>18</v>
      </c>
      <c r="F9" s="6" t="s">
        <v>40</v>
      </c>
      <c r="G9" s="5">
        <v>2</v>
      </c>
      <c r="H9" t="str">
        <f>VLOOKUP(E9,'Описание значений'!$B$11:$C$18,2,FALSE)</f>
        <v>Общая ошибка в формате входных данных</v>
      </c>
      <c r="I9" t="str">
        <f>VLOOKUP(F9,'Описание значений'!$B$21:$C$39,2,FALSE)</f>
        <v>Формат входных данных не JSON</v>
      </c>
      <c r="J9" s="27" t="s">
        <v>102</v>
      </c>
      <c r="K9">
        <v>1</v>
      </c>
      <c r="L9" t="str">
        <f t="shared" si="2"/>
        <v>Testing/Data_to_import/POST/d8.json</v>
      </c>
      <c r="M9" t="str">
        <f t="shared" si="0"/>
        <v>curl -X POST -d "@Testing/Data_to_import/POST/d8.json" 0.0.0.0:8080/imports</v>
      </c>
      <c r="N9" s="27">
        <v>400</v>
      </c>
      <c r="O9" s="27">
        <f>LOGS!F9</f>
        <v>400</v>
      </c>
      <c r="P9" s="33" t="str">
        <f t="shared" si="1"/>
        <v>OK</v>
      </c>
      <c r="Q9" s="27" t="str">
        <f>LOGS!G9</f>
        <v xml:space="preserve"> Import data is not in JSON format</v>
      </c>
      <c r="R9">
        <f>LOGS!H9</f>
        <v>7.94E-4</v>
      </c>
    </row>
    <row r="10" spans="1:29" x14ac:dyDescent="0.25">
      <c r="A10">
        <v>9</v>
      </c>
      <c r="B10">
        <v>9</v>
      </c>
      <c r="C10" t="str">
        <f>"R"&amp;VLOOKUP(D10,'Описание значений'!$B$4:$C$8,2,FALSE)&amp;"_G"&amp;F10&amp;"_N"&amp;TEXT(G10,"00")</f>
        <v>R01_G01t01_N03</v>
      </c>
      <c r="D10" s="5" t="s">
        <v>2</v>
      </c>
      <c r="E10" s="6" t="s">
        <v>18</v>
      </c>
      <c r="F10" s="6" t="s">
        <v>40</v>
      </c>
      <c r="G10" s="5">
        <v>3</v>
      </c>
      <c r="H10" t="str">
        <f>VLOOKUP(E10,'Описание значений'!$B$11:$C$18,2,FALSE)</f>
        <v>Общая ошибка в формате входных данных</v>
      </c>
      <c r="I10" t="str">
        <f>VLOOKUP(F10,'Описание значений'!$B$21:$C$39,2,FALSE)</f>
        <v>Формат входных данных не JSON</v>
      </c>
      <c r="J10" s="27" t="s">
        <v>103</v>
      </c>
      <c r="K10">
        <v>1</v>
      </c>
      <c r="L10" t="str">
        <f t="shared" si="2"/>
        <v>Testing/Data_to_import/POST/d9.json</v>
      </c>
      <c r="M10" t="str">
        <f t="shared" si="0"/>
        <v>curl -X POST -d "@Testing/Data_to_import/POST/d9.json" 0.0.0.0:8080/imports</v>
      </c>
      <c r="N10" s="27">
        <v>400</v>
      </c>
      <c r="O10" s="27">
        <f>LOGS!F10</f>
        <v>400</v>
      </c>
      <c r="P10" s="33" t="str">
        <f t="shared" si="1"/>
        <v>OK</v>
      </c>
      <c r="Q10" s="27" t="str">
        <f>LOGS!G10</f>
        <v xml:space="preserve"> Import data is not in JSON format</v>
      </c>
      <c r="R10">
        <f>LOGS!H10</f>
        <v>9.9700000000000006E-4</v>
      </c>
    </row>
    <row r="11" spans="1:29" x14ac:dyDescent="0.25">
      <c r="A11">
        <v>10</v>
      </c>
      <c r="B11">
        <v>10</v>
      </c>
      <c r="C11" t="str">
        <f>"R"&amp;VLOOKUP(D11,'Описание значений'!$B$4:$C$8,2,FALSE)&amp;"_G"&amp;F11&amp;"_N"&amp;TEXT(G11,"00")</f>
        <v>R01_G01t02_N04</v>
      </c>
      <c r="D11" s="5" t="s">
        <v>2</v>
      </c>
      <c r="E11" s="6" t="s">
        <v>18</v>
      </c>
      <c r="F11" s="6" t="s">
        <v>42</v>
      </c>
      <c r="G11" s="5">
        <v>4</v>
      </c>
      <c r="H11" t="str">
        <f>VLOOKUP(E11,'Описание значений'!$B$11:$C$18,2,FALSE)</f>
        <v>Общая ошибка в формате входных данных</v>
      </c>
      <c r="I11" t="str">
        <f>VLOOKUP(F11,'Описание значений'!$B$21:$C$39,2,FALSE)</f>
        <v>Ошибка в структуре входных данных</v>
      </c>
      <c r="J11" s="27" t="s">
        <v>104</v>
      </c>
      <c r="K11">
        <v>1</v>
      </c>
      <c r="L11" t="str">
        <f t="shared" si="2"/>
        <v>Testing/Data_to_import/POST/d10.json</v>
      </c>
      <c r="M11" t="str">
        <f t="shared" si="0"/>
        <v>curl -X POST -d "@Testing/Data_to_import/POST/d10.json" 0.0.0.0:8080/imports</v>
      </c>
      <c r="N11" s="27">
        <v>400</v>
      </c>
      <c r="O11" s="27">
        <f>LOGS!F11</f>
        <v>400</v>
      </c>
      <c r="P11" s="33" t="str">
        <f t="shared" si="1"/>
        <v>OK</v>
      </c>
      <c r="Q11" s="27" t="str">
        <f>LOGS!G11</f>
        <v xml:space="preserve"> Import data has more than 1 key (should be only "citizens")</v>
      </c>
      <c r="R11">
        <f>LOGS!H11</f>
        <v>1.0139999999999999E-3</v>
      </c>
    </row>
    <row r="12" spans="1:29" x14ac:dyDescent="0.25">
      <c r="A12">
        <v>11</v>
      </c>
      <c r="B12">
        <v>11</v>
      </c>
      <c r="C12" t="str">
        <f>"R"&amp;VLOOKUP(D12,'Описание значений'!$B$4:$C$8,2,FALSE)&amp;"_G"&amp;F12&amp;"_N"&amp;TEXT(G12,"00")</f>
        <v>R01_G01t02_N05</v>
      </c>
      <c r="D12" s="5" t="s">
        <v>2</v>
      </c>
      <c r="E12" s="6" t="s">
        <v>18</v>
      </c>
      <c r="F12" s="6" t="s">
        <v>42</v>
      </c>
      <c r="G12" s="5">
        <v>5</v>
      </c>
      <c r="H12" t="str">
        <f>VLOOKUP(E12,'Описание значений'!$B$11:$C$18,2,FALSE)</f>
        <v>Общая ошибка в формате входных данных</v>
      </c>
      <c r="I12" t="str">
        <f>VLOOKUP(F12,'Описание значений'!$B$21:$C$39,2,FALSE)</f>
        <v>Ошибка в структуре входных данных</v>
      </c>
      <c r="J12" s="27" t="s">
        <v>105</v>
      </c>
      <c r="K12">
        <v>1</v>
      </c>
      <c r="L12" t="str">
        <f t="shared" si="2"/>
        <v>Testing/Data_to_import/POST/d11.json</v>
      </c>
      <c r="M12" t="str">
        <f t="shared" si="0"/>
        <v>curl -X POST -d "@Testing/Data_to_import/POST/d11.json" 0.0.0.0:8080/imports</v>
      </c>
      <c r="N12" s="27">
        <v>400</v>
      </c>
      <c r="O12" s="27">
        <f>LOGS!F12</f>
        <v>400</v>
      </c>
      <c r="P12" s="33" t="str">
        <f t="shared" si="1"/>
        <v>OK</v>
      </c>
      <c r="Q12" s="27" t="str">
        <f>LOGS!G12</f>
        <v xml:space="preserve"> Import data has no "citizens" key</v>
      </c>
      <c r="R12">
        <f>LOGS!H12</f>
        <v>1.191E-3</v>
      </c>
    </row>
    <row r="13" spans="1:29" x14ac:dyDescent="0.25">
      <c r="A13">
        <v>12</v>
      </c>
      <c r="B13">
        <v>12</v>
      </c>
      <c r="C13" t="str">
        <f>"R"&amp;VLOOKUP(D13,'Описание значений'!$B$4:$C$8,2,FALSE)&amp;"_G"&amp;F13&amp;"_N"&amp;TEXT(G13,"00")</f>
        <v>R01_G01t02_N06</v>
      </c>
      <c r="D13" s="5" t="s">
        <v>2</v>
      </c>
      <c r="E13" s="6" t="s">
        <v>18</v>
      </c>
      <c r="F13" s="6" t="s">
        <v>42</v>
      </c>
      <c r="G13" s="5">
        <v>6</v>
      </c>
      <c r="H13" t="str">
        <f>VLOOKUP(E13,'Описание значений'!$B$11:$C$18,2,FALSE)</f>
        <v>Общая ошибка в формате входных данных</v>
      </c>
      <c r="I13" t="str">
        <f>VLOOKUP(F13,'Описание значений'!$B$21:$C$39,2,FALSE)</f>
        <v>Ошибка в структуре входных данных</v>
      </c>
      <c r="J13" s="27" t="s">
        <v>106</v>
      </c>
      <c r="K13">
        <v>1</v>
      </c>
      <c r="L13" t="str">
        <f t="shared" si="2"/>
        <v>Testing/Data_to_import/POST/d12.json</v>
      </c>
      <c r="M13" t="str">
        <f t="shared" si="0"/>
        <v>curl -X POST -d "@Testing/Data_to_import/POST/d12.json" 0.0.0.0:8080/imports</v>
      </c>
      <c r="N13" s="27">
        <v>400</v>
      </c>
      <c r="O13" s="27">
        <f>LOGS!F13</f>
        <v>400</v>
      </c>
      <c r="P13" s="33" t="str">
        <f t="shared" si="1"/>
        <v>OK</v>
      </c>
      <c r="Q13" s="27" t="str">
        <f>LOGS!G13</f>
        <v xml:space="preserve"> Import data has duplicate keys</v>
      </c>
      <c r="R13">
        <f>LOGS!H13</f>
        <v>1.152E-3</v>
      </c>
    </row>
    <row r="14" spans="1:29" x14ac:dyDescent="0.25">
      <c r="A14">
        <v>13</v>
      </c>
      <c r="B14">
        <v>13</v>
      </c>
      <c r="C14" t="str">
        <f>"R"&amp;VLOOKUP(D14,'Описание значений'!$B$4:$C$8,2,FALSE)&amp;"_G"&amp;F14&amp;"_N"&amp;TEXT(G14,"00")</f>
        <v>R01_G01t02_N07</v>
      </c>
      <c r="D14" s="5" t="s">
        <v>2</v>
      </c>
      <c r="E14" s="6" t="s">
        <v>18</v>
      </c>
      <c r="F14" s="6" t="s">
        <v>42</v>
      </c>
      <c r="G14" s="5">
        <v>7</v>
      </c>
      <c r="H14" t="str">
        <f>VLOOKUP(E14,'Описание значений'!$B$11:$C$18,2,FALSE)</f>
        <v>Общая ошибка в формате входных данных</v>
      </c>
      <c r="I14" t="str">
        <f>VLOOKUP(F14,'Описание значений'!$B$21:$C$39,2,FALSE)</f>
        <v>Ошибка в структуре входных данных</v>
      </c>
      <c r="J14" s="27" t="s">
        <v>107</v>
      </c>
      <c r="K14">
        <v>1</v>
      </c>
      <c r="L14" t="str">
        <f t="shared" si="2"/>
        <v>Testing/Data_to_import/POST/d13.json</v>
      </c>
      <c r="M14" t="str">
        <f t="shared" si="0"/>
        <v>curl -X POST -d "@Testing/Data_to_import/POST/d13.json" 0.0.0.0:8080/imports</v>
      </c>
      <c r="N14" s="27">
        <v>400</v>
      </c>
      <c r="O14" s="27">
        <f>LOGS!F14</f>
        <v>400</v>
      </c>
      <c r="P14" s="33" t="str">
        <f t="shared" si="1"/>
        <v>OK</v>
      </c>
      <c r="Q14" s="27" t="str">
        <f>LOGS!G14</f>
        <v xml:space="preserve"> Import data has duplicate keys</v>
      </c>
      <c r="R14">
        <f>LOGS!H14</f>
        <v>9.01E-4</v>
      </c>
    </row>
    <row r="15" spans="1:29" x14ac:dyDescent="0.25">
      <c r="A15">
        <v>14</v>
      </c>
      <c r="B15">
        <v>14</v>
      </c>
      <c r="C15" t="str">
        <f>"R"&amp;VLOOKUP(D15,'Описание значений'!$B$4:$C$8,2,FALSE)&amp;"_G"&amp;F15&amp;"_N"&amp;TEXT(G15,"00")</f>
        <v>R01_G01t02_N08</v>
      </c>
      <c r="D15" s="5" t="s">
        <v>2</v>
      </c>
      <c r="E15" s="6" t="s">
        <v>18</v>
      </c>
      <c r="F15" s="6" t="s">
        <v>42</v>
      </c>
      <c r="G15" s="5">
        <v>8</v>
      </c>
      <c r="H15" t="str">
        <f>VLOOKUP(E15,'Описание значений'!$B$11:$C$18,2,FALSE)</f>
        <v>Общая ошибка в формате входных данных</v>
      </c>
      <c r="I15" t="str">
        <f>VLOOKUP(F15,'Описание значений'!$B$21:$C$39,2,FALSE)</f>
        <v>Ошибка в структуре входных данных</v>
      </c>
      <c r="J15" s="27" t="s">
        <v>108</v>
      </c>
      <c r="K15">
        <v>1</v>
      </c>
      <c r="L15" t="str">
        <f t="shared" si="2"/>
        <v>Testing/Data_to_import/POST/d14.json</v>
      </c>
      <c r="M15" t="str">
        <f t="shared" si="0"/>
        <v>curl -X POST -d "@Testing/Data_to_import/POST/d14.json" 0.0.0.0:8080/imports</v>
      </c>
      <c r="N15" s="27">
        <v>400</v>
      </c>
      <c r="O15" s="27">
        <f>LOGS!F15</f>
        <v>400</v>
      </c>
      <c r="P15" s="33" t="str">
        <f t="shared" si="1"/>
        <v>OK</v>
      </c>
      <c r="Q15" s="27" t="str">
        <f>LOGS!G15</f>
        <v xml:space="preserve"> The "citizens" value must be a list</v>
      </c>
      <c r="R15">
        <f>LOGS!H15</f>
        <v>1.1119999999999999E-3</v>
      </c>
    </row>
    <row r="16" spans="1:29" x14ac:dyDescent="0.25">
      <c r="A16">
        <v>15</v>
      </c>
      <c r="B16">
        <v>15</v>
      </c>
      <c r="C16" t="str">
        <f>"R"&amp;VLOOKUP(D16,'Описание значений'!$B$4:$C$8,2,FALSE)&amp;"_G"&amp;F16&amp;"_N"&amp;TEXT(G16,"00")</f>
        <v>R01_G01t02_N09</v>
      </c>
      <c r="D16" s="5" t="s">
        <v>2</v>
      </c>
      <c r="E16" s="6" t="s">
        <v>18</v>
      </c>
      <c r="F16" s="6" t="s">
        <v>42</v>
      </c>
      <c r="G16" s="5">
        <v>9</v>
      </c>
      <c r="H16" t="str">
        <f>VLOOKUP(E16,'Описание значений'!$B$11:$C$18,2,FALSE)</f>
        <v>Общая ошибка в формате входных данных</v>
      </c>
      <c r="I16" t="str">
        <f>VLOOKUP(F16,'Описание значений'!$B$21:$C$39,2,FALSE)</f>
        <v>Ошибка в структуре входных данных</v>
      </c>
      <c r="J16" s="27" t="s">
        <v>109</v>
      </c>
      <c r="K16">
        <v>1</v>
      </c>
      <c r="L16" t="str">
        <f t="shared" si="2"/>
        <v>Testing/Data_to_import/POST/d15.json</v>
      </c>
      <c r="M16" t="str">
        <f t="shared" si="0"/>
        <v>curl -X POST -d "@Testing/Data_to_import/POST/d15.json" 0.0.0.0:8080/imports</v>
      </c>
      <c r="N16" s="27">
        <v>400</v>
      </c>
      <c r="O16" s="27">
        <f>LOGS!F16</f>
        <v>400</v>
      </c>
      <c r="P16" s="33" t="str">
        <f t="shared" si="1"/>
        <v>OK</v>
      </c>
      <c r="Q16" s="27" t="str">
        <f>LOGS!G16</f>
        <v xml:space="preserve"> No citizens in import data. Should be at least one</v>
      </c>
      <c r="R16">
        <f>LOGS!H16</f>
        <v>1.1379999999999999E-3</v>
      </c>
    </row>
    <row r="17" spans="1:18" x14ac:dyDescent="0.25">
      <c r="A17">
        <v>16</v>
      </c>
      <c r="B17">
        <v>16</v>
      </c>
      <c r="C17" t="str">
        <f>"R"&amp;VLOOKUP(D17,'Описание значений'!$B$4:$C$8,2,FALSE)&amp;"_G"&amp;F17&amp;"_N"&amp;TEXT(G17,"00")</f>
        <v>R01_G02t01_N01</v>
      </c>
      <c r="D17" s="3" t="s">
        <v>2</v>
      </c>
      <c r="E17" s="4" t="s">
        <v>24</v>
      </c>
      <c r="F17" s="4" t="s">
        <v>43</v>
      </c>
      <c r="G17" s="3">
        <v>1</v>
      </c>
      <c r="H17" t="str">
        <f>VLOOKUP(E17,'Описание значений'!$B$11:$C$18,2,FALSE)</f>
        <v>Нет необходимых полей во входных данных</v>
      </c>
      <c r="I17" t="str">
        <f>VLOOKUP(F17,'Описание значений'!$B$21:$C$39,2,FALSE)</f>
        <v>Отсутствует одно поле</v>
      </c>
      <c r="J17" s="27" t="s">
        <v>54</v>
      </c>
      <c r="K17">
        <v>1</v>
      </c>
      <c r="L17" t="str">
        <f t="shared" si="2"/>
        <v>Testing/Data_to_import/POST/d16.json</v>
      </c>
      <c r="M17" t="str">
        <f t="shared" si="0"/>
        <v>curl -X POST -d "@Testing/Data_to_import/POST/d16.json" 0.0.0.0:8080/imports</v>
      </c>
      <c r="N17" s="27">
        <v>400</v>
      </c>
      <c r="O17" s="27">
        <f>LOGS!F17</f>
        <v>400</v>
      </c>
      <c r="P17" s="33" t="str">
        <f t="shared" si="1"/>
        <v>OK</v>
      </c>
      <c r="Q17" s="27" t="str">
        <f>LOGS!G17</f>
        <v xml:space="preserve"> One or more fields are missing in import data - key citizen_id (citizen 0)</v>
      </c>
      <c r="R17">
        <f>LOGS!H17</f>
        <v>9.8999999999999999E-4</v>
      </c>
    </row>
    <row r="18" spans="1:18" x14ac:dyDescent="0.25">
      <c r="A18">
        <v>17</v>
      </c>
      <c r="B18">
        <v>17</v>
      </c>
      <c r="C18" t="str">
        <f>"R"&amp;VLOOKUP(D18,'Описание значений'!$B$4:$C$8,2,FALSE)&amp;"_G"&amp;F18&amp;"_N"&amp;TEXT(G18,"00")</f>
        <v>R01_G02t01_N02</v>
      </c>
      <c r="D18" s="3" t="s">
        <v>2</v>
      </c>
      <c r="E18" s="4" t="s">
        <v>24</v>
      </c>
      <c r="F18" s="4" t="s">
        <v>43</v>
      </c>
      <c r="G18" s="3">
        <v>2</v>
      </c>
      <c r="H18" t="str">
        <f>VLOOKUP(E18,'Описание значений'!$B$11:$C$18,2,FALSE)</f>
        <v>Нет необходимых полей во входных данных</v>
      </c>
      <c r="I18" t="str">
        <f>VLOOKUP(F18,'Описание значений'!$B$21:$C$39,2,FALSE)</f>
        <v>Отсутствует одно поле</v>
      </c>
      <c r="J18" s="27" t="s">
        <v>55</v>
      </c>
      <c r="K18">
        <v>1</v>
      </c>
      <c r="L18" t="str">
        <f t="shared" si="2"/>
        <v>Testing/Data_to_import/POST/d17.json</v>
      </c>
      <c r="M18" t="str">
        <f t="shared" si="0"/>
        <v>curl -X POST -d "@Testing/Data_to_import/POST/d17.json" 0.0.0.0:8080/imports</v>
      </c>
      <c r="N18" s="27">
        <v>400</v>
      </c>
      <c r="O18" s="27">
        <f>LOGS!F18</f>
        <v>400</v>
      </c>
      <c r="P18" s="33" t="str">
        <f t="shared" si="1"/>
        <v>OK</v>
      </c>
      <c r="Q18" s="27" t="str">
        <f>LOGS!G18</f>
        <v xml:space="preserve"> One or more fields are missing in import data - key birth_date (citizen 0)</v>
      </c>
      <c r="R18">
        <f>LOGS!H18</f>
        <v>1.2080000000000001E-3</v>
      </c>
    </row>
    <row r="19" spans="1:18" x14ac:dyDescent="0.25">
      <c r="A19">
        <v>18</v>
      </c>
      <c r="B19">
        <v>18</v>
      </c>
      <c r="C19" t="str">
        <f>"R"&amp;VLOOKUP(D19,'Описание значений'!$B$4:$C$8,2,FALSE)&amp;"_G"&amp;F19&amp;"_N"&amp;TEXT(G19,"00")</f>
        <v>R01_G02t01_N03</v>
      </c>
      <c r="D19" s="3" t="s">
        <v>2</v>
      </c>
      <c r="E19" s="4" t="s">
        <v>24</v>
      </c>
      <c r="F19" s="4" t="s">
        <v>43</v>
      </c>
      <c r="G19" s="3">
        <v>3</v>
      </c>
      <c r="H19" t="str">
        <f>VLOOKUP(E19,'Описание значений'!$B$11:$C$18,2,FALSE)</f>
        <v>Нет необходимых полей во входных данных</v>
      </c>
      <c r="I19" t="str">
        <f>VLOOKUP(F19,'Описание значений'!$B$21:$C$39,2,FALSE)</f>
        <v>Отсутствует одно поле</v>
      </c>
      <c r="J19" s="27" t="s">
        <v>56</v>
      </c>
      <c r="K19">
        <v>1</v>
      </c>
      <c r="L19" t="str">
        <f t="shared" si="2"/>
        <v>Testing/Data_to_import/POST/d18.json</v>
      </c>
      <c r="M19" t="str">
        <f t="shared" si="0"/>
        <v>curl -X POST -d "@Testing/Data_to_import/POST/d18.json" 0.0.0.0:8080/imports</v>
      </c>
      <c r="N19" s="27">
        <v>400</v>
      </c>
      <c r="O19" s="27">
        <f>LOGS!F19</f>
        <v>400</v>
      </c>
      <c r="P19" s="33" t="str">
        <f t="shared" si="1"/>
        <v>OK</v>
      </c>
      <c r="Q19" s="27" t="str">
        <f>LOGS!G19</f>
        <v xml:space="preserve"> One or more fields are missing in import data - key town (citizen 0)</v>
      </c>
      <c r="R19">
        <f>LOGS!H19</f>
        <v>1.2160000000000001E-3</v>
      </c>
    </row>
    <row r="20" spans="1:18" x14ac:dyDescent="0.25">
      <c r="A20">
        <v>19</v>
      </c>
      <c r="B20">
        <v>19</v>
      </c>
      <c r="C20" t="str">
        <f>"R"&amp;VLOOKUP(D20,'Описание значений'!$B$4:$C$8,2,FALSE)&amp;"_G"&amp;F20&amp;"_N"&amp;TEXT(G20,"00")</f>
        <v>R01_G02t01_N04</v>
      </c>
      <c r="D20" s="3" t="s">
        <v>2</v>
      </c>
      <c r="E20" s="4" t="s">
        <v>24</v>
      </c>
      <c r="F20" s="4" t="s">
        <v>43</v>
      </c>
      <c r="G20" s="3">
        <v>4</v>
      </c>
      <c r="H20" t="str">
        <f>VLOOKUP(E20,'Описание значений'!$B$11:$C$18,2,FALSE)</f>
        <v>Нет необходимых полей во входных данных</v>
      </c>
      <c r="I20" t="str">
        <f>VLOOKUP(F20,'Описание значений'!$B$21:$C$39,2,FALSE)</f>
        <v>Отсутствует одно поле</v>
      </c>
      <c r="J20" s="27" t="s">
        <v>57</v>
      </c>
      <c r="K20">
        <v>1</v>
      </c>
      <c r="L20" t="str">
        <f t="shared" si="2"/>
        <v>Testing/Data_to_import/POST/d19.json</v>
      </c>
      <c r="M20" t="str">
        <f t="shared" si="0"/>
        <v>curl -X POST -d "@Testing/Data_to_import/POST/d19.json" 0.0.0.0:8080/imports</v>
      </c>
      <c r="N20" s="27">
        <v>400</v>
      </c>
      <c r="O20" s="27">
        <f>LOGS!F20</f>
        <v>400</v>
      </c>
      <c r="P20" s="33" t="str">
        <f t="shared" si="1"/>
        <v>OK</v>
      </c>
      <c r="Q20" s="27" t="str">
        <f>LOGS!G20</f>
        <v xml:space="preserve"> One or more fields are missing in import data - key apartment (citizen 0)</v>
      </c>
      <c r="R20">
        <f>LOGS!H20</f>
        <v>1.23E-3</v>
      </c>
    </row>
    <row r="21" spans="1:18" x14ac:dyDescent="0.25">
      <c r="A21">
        <v>20</v>
      </c>
      <c r="B21">
        <v>20</v>
      </c>
      <c r="C21" t="str">
        <f>"R"&amp;VLOOKUP(D21,'Описание значений'!$B$4:$C$8,2,FALSE)&amp;"_G"&amp;F21&amp;"_N"&amp;TEXT(G21,"00")</f>
        <v>R01_G02t01_N05</v>
      </c>
      <c r="D21" s="3" t="s">
        <v>2</v>
      </c>
      <c r="E21" s="4" t="s">
        <v>24</v>
      </c>
      <c r="F21" s="4" t="s">
        <v>43</v>
      </c>
      <c r="G21" s="3">
        <v>5</v>
      </c>
      <c r="H21" t="str">
        <f>VLOOKUP(E21,'Описание значений'!$B$11:$C$18,2,FALSE)</f>
        <v>Нет необходимых полей во входных данных</v>
      </c>
      <c r="I21" t="str">
        <f>VLOOKUP(F21,'Описание значений'!$B$21:$C$39,2,FALSE)</f>
        <v>Отсутствует одно поле</v>
      </c>
      <c r="J21" s="27" t="s">
        <v>58</v>
      </c>
      <c r="K21">
        <v>1</v>
      </c>
      <c r="L21" t="str">
        <f t="shared" si="2"/>
        <v>Testing/Data_to_import/POST/d20.json</v>
      </c>
      <c r="M21" t="str">
        <f t="shared" si="0"/>
        <v>curl -X POST -d "@Testing/Data_to_import/POST/d20.json" 0.0.0.0:8080/imports</v>
      </c>
      <c r="N21" s="27">
        <v>400</v>
      </c>
      <c r="O21" s="27">
        <f>LOGS!F21</f>
        <v>400</v>
      </c>
      <c r="P21" s="33" t="str">
        <f t="shared" si="1"/>
        <v>OK</v>
      </c>
      <c r="Q21" s="27" t="str">
        <f>LOGS!G21</f>
        <v xml:space="preserve"> One or more fields are missing in import data - key gender (citizen 0)</v>
      </c>
      <c r="R21">
        <f>LOGS!H21</f>
        <v>1.062E-3</v>
      </c>
    </row>
    <row r="22" spans="1:18" x14ac:dyDescent="0.25">
      <c r="A22">
        <v>21</v>
      </c>
      <c r="B22">
        <v>21</v>
      </c>
      <c r="C22" t="str">
        <f>"R"&amp;VLOOKUP(D22,'Описание значений'!$B$4:$C$8,2,FALSE)&amp;"_G"&amp;F22&amp;"_N"&amp;TEXT(G22,"00")</f>
        <v>R01_G02t02_N01</v>
      </c>
      <c r="D22" s="7" t="s">
        <v>2</v>
      </c>
      <c r="E22" s="8" t="s">
        <v>24</v>
      </c>
      <c r="F22" s="8" t="s">
        <v>95</v>
      </c>
      <c r="G22" s="7">
        <v>1</v>
      </c>
      <c r="H22" t="str">
        <f>VLOOKUP(E22,'Описание значений'!$B$11:$C$18,2,FALSE)</f>
        <v>Нет необходимых полей во входных данных</v>
      </c>
      <c r="I22" t="str">
        <f>VLOOKUP(F22,'Описание значений'!$B$21:$C$39,2,FALSE)</f>
        <v>Отсутствует несколько полей</v>
      </c>
      <c r="J22" s="27" t="s">
        <v>59</v>
      </c>
      <c r="K22">
        <v>1</v>
      </c>
      <c r="L22" t="str">
        <f t="shared" si="2"/>
        <v>Testing/Data_to_import/POST/d21.json</v>
      </c>
      <c r="M22" t="str">
        <f t="shared" si="0"/>
        <v>curl -X POST -d "@Testing/Data_to_import/POST/d21.json" 0.0.0.0:8080/imports</v>
      </c>
      <c r="N22" s="27">
        <v>400</v>
      </c>
      <c r="O22" s="27">
        <f>LOGS!F22</f>
        <v>400</v>
      </c>
      <c r="P22" s="33" t="str">
        <f t="shared" si="1"/>
        <v>OK</v>
      </c>
      <c r="Q22" s="27" t="str">
        <f>LOGS!G22</f>
        <v xml:space="preserve"> One or more fields are missing in import data - key name (citizen 0)</v>
      </c>
      <c r="R22">
        <f>LOGS!H22</f>
        <v>1.0280000000000001E-3</v>
      </c>
    </row>
    <row r="23" spans="1:18" x14ac:dyDescent="0.25">
      <c r="A23">
        <v>22</v>
      </c>
      <c r="B23">
        <v>22</v>
      </c>
      <c r="C23" t="str">
        <f>"R"&amp;VLOOKUP(D23,'Описание значений'!$B$4:$C$8,2,FALSE)&amp;"_G"&amp;F23&amp;"_N"&amp;TEXT(G23,"00")</f>
        <v>R01_G02t02_N02</v>
      </c>
      <c r="D23" s="7" t="s">
        <v>2</v>
      </c>
      <c r="E23" s="8" t="s">
        <v>24</v>
      </c>
      <c r="F23" s="8" t="s">
        <v>95</v>
      </c>
      <c r="G23" s="7">
        <v>2</v>
      </c>
      <c r="H23" t="str">
        <f>VLOOKUP(E23,'Описание значений'!$B$11:$C$18,2,FALSE)</f>
        <v>Нет необходимых полей во входных данных</v>
      </c>
      <c r="I23" t="str">
        <f>VLOOKUP(F23,'Описание значений'!$B$21:$C$39,2,FALSE)</f>
        <v>Отсутствует несколько полей</v>
      </c>
      <c r="J23" s="27" t="s">
        <v>64</v>
      </c>
      <c r="K23">
        <v>1</v>
      </c>
      <c r="L23" t="str">
        <f t="shared" si="2"/>
        <v>Testing/Data_to_import/POST/d22.json</v>
      </c>
      <c r="M23" t="str">
        <f t="shared" si="0"/>
        <v>curl -X POST -d "@Testing/Data_to_import/POST/d22.json" 0.0.0.0:8080/imports</v>
      </c>
      <c r="N23" s="27">
        <v>400</v>
      </c>
      <c r="O23" s="27">
        <f>LOGS!F23</f>
        <v>400</v>
      </c>
      <c r="P23" s="33" t="str">
        <f t="shared" si="1"/>
        <v>OK</v>
      </c>
      <c r="Q23" s="27" t="str">
        <f>LOGS!G23</f>
        <v xml:space="preserve"> One or more fields are missing in import data - key street (citizen 0)</v>
      </c>
      <c r="R23">
        <f>LOGS!H23</f>
        <v>9.2199999999999997E-4</v>
      </c>
    </row>
    <row r="24" spans="1:18" x14ac:dyDescent="0.25">
      <c r="A24">
        <v>23</v>
      </c>
      <c r="B24">
        <v>23</v>
      </c>
      <c r="C24" t="str">
        <f>"R"&amp;VLOOKUP(D24,'Описание значений'!$B$4:$C$8,2,FALSE)&amp;"_G"&amp;F24&amp;"_N"&amp;TEXT(G24,"00")</f>
        <v>R01_G02t02_N03</v>
      </c>
      <c r="D24" s="7" t="s">
        <v>2</v>
      </c>
      <c r="E24" s="8" t="s">
        <v>24</v>
      </c>
      <c r="F24" s="8" t="s">
        <v>95</v>
      </c>
      <c r="G24" s="7">
        <v>3</v>
      </c>
      <c r="H24" t="str">
        <f>VLOOKUP(E24,'Описание значений'!$B$11:$C$18,2,FALSE)</f>
        <v>Нет необходимых полей во входных данных</v>
      </c>
      <c r="I24" t="str">
        <f>VLOOKUP(F24,'Описание значений'!$B$21:$C$39,2,FALSE)</f>
        <v>Отсутствует несколько полей</v>
      </c>
      <c r="J24" s="27" t="s">
        <v>65</v>
      </c>
      <c r="K24">
        <v>1</v>
      </c>
      <c r="L24" t="str">
        <f t="shared" si="2"/>
        <v>Testing/Data_to_import/POST/d23.json</v>
      </c>
      <c r="M24" t="str">
        <f t="shared" si="0"/>
        <v>curl -X POST -d "@Testing/Data_to_import/POST/d23.json" 0.0.0.0:8080/imports</v>
      </c>
      <c r="N24" s="27">
        <v>400</v>
      </c>
      <c r="O24" s="27">
        <f>LOGS!F24</f>
        <v>400</v>
      </c>
      <c r="P24" s="33" t="str">
        <f t="shared" si="1"/>
        <v>OK</v>
      </c>
      <c r="Q24" s="27" t="str">
        <f>LOGS!G24</f>
        <v xml:space="preserve"> One or more fields are missing in import data - key name (citizen 0)</v>
      </c>
      <c r="R24">
        <f>LOGS!H24</f>
        <v>1.1659999999999999E-3</v>
      </c>
    </row>
    <row r="25" spans="1:18" x14ac:dyDescent="0.25">
      <c r="A25">
        <v>24</v>
      </c>
      <c r="B25">
        <v>24</v>
      </c>
      <c r="C25" t="str">
        <f>"R"&amp;VLOOKUP(D25,'Описание значений'!$B$4:$C$8,2,FALSE)&amp;"_G"&amp;F25&amp;"_N"&amp;TEXT(G25,"00")</f>
        <v>R01_G02t02_N04</v>
      </c>
      <c r="D25" s="7" t="s">
        <v>2</v>
      </c>
      <c r="E25" s="8" t="s">
        <v>24</v>
      </c>
      <c r="F25" s="8" t="s">
        <v>95</v>
      </c>
      <c r="G25" s="7">
        <v>4</v>
      </c>
      <c r="H25" t="str">
        <f>VLOOKUP(E25,'Описание значений'!$B$11:$C$18,2,FALSE)</f>
        <v>Нет необходимых полей во входных данных</v>
      </c>
      <c r="I25" t="str">
        <f>VLOOKUP(F25,'Описание значений'!$B$21:$C$39,2,FALSE)</f>
        <v>Отсутствует несколько полей</v>
      </c>
      <c r="J25" s="27" t="s">
        <v>66</v>
      </c>
      <c r="K25">
        <v>1</v>
      </c>
      <c r="L25" t="str">
        <f t="shared" si="2"/>
        <v>Testing/Data_to_import/POST/d24.json</v>
      </c>
      <c r="M25" t="str">
        <f t="shared" si="0"/>
        <v>curl -X POST -d "@Testing/Data_to_import/POST/d24.json" 0.0.0.0:8080/imports</v>
      </c>
      <c r="N25" s="27">
        <v>400</v>
      </c>
      <c r="O25" s="27">
        <f>LOGS!F25</f>
        <v>400</v>
      </c>
      <c r="P25" s="33" t="str">
        <f t="shared" si="1"/>
        <v>OK</v>
      </c>
      <c r="Q25" s="27" t="str">
        <f>LOGS!G25</f>
        <v xml:space="preserve"> One or more fields are missing in import data - key citizen_id (citizen 0)</v>
      </c>
      <c r="R25">
        <f>LOGS!H25</f>
        <v>1.1720000000000001E-3</v>
      </c>
    </row>
    <row r="26" spans="1:18" x14ac:dyDescent="0.25">
      <c r="A26">
        <v>25</v>
      </c>
      <c r="B26">
        <v>25</v>
      </c>
      <c r="C26" t="str">
        <f>"R"&amp;VLOOKUP(D26,'Описание значений'!$B$4:$C$8,2,FALSE)&amp;"_G"&amp;F26&amp;"_N"&amp;TEXT(G26,"00")</f>
        <v>R01_G02t02_N05</v>
      </c>
      <c r="D26" s="7" t="s">
        <v>2</v>
      </c>
      <c r="E26" s="8" t="s">
        <v>24</v>
      </c>
      <c r="F26" s="8" t="s">
        <v>95</v>
      </c>
      <c r="G26" s="7">
        <v>5</v>
      </c>
      <c r="H26" t="str">
        <f>VLOOKUP(E26,'Описание значений'!$B$11:$C$18,2,FALSE)</f>
        <v>Нет необходимых полей во входных данных</v>
      </c>
      <c r="I26" t="str">
        <f>VLOOKUP(F26,'Описание значений'!$B$21:$C$39,2,FALSE)</f>
        <v>Отсутствует несколько полей</v>
      </c>
      <c r="J26" s="27" t="s">
        <v>67</v>
      </c>
      <c r="K26">
        <v>1</v>
      </c>
      <c r="L26" t="str">
        <f t="shared" si="2"/>
        <v>Testing/Data_to_import/POST/d25.json</v>
      </c>
      <c r="M26" t="str">
        <f t="shared" si="0"/>
        <v>curl -X POST -d "@Testing/Data_to_import/POST/d25.json" 0.0.0.0:8080/imports</v>
      </c>
      <c r="N26" s="27">
        <v>400</v>
      </c>
      <c r="O26" s="27">
        <f>LOGS!F26</f>
        <v>400</v>
      </c>
      <c r="P26" s="33" t="str">
        <f t="shared" si="1"/>
        <v>OK</v>
      </c>
      <c r="Q26" s="27" t="str">
        <f>LOGS!G26</f>
        <v xml:space="preserve"> One or more fields are missing in import data - key citizen_id (citizen 0)</v>
      </c>
      <c r="R26">
        <f>LOGS!H26</f>
        <v>1.194E-3</v>
      </c>
    </row>
    <row r="27" spans="1:18" x14ac:dyDescent="0.25">
      <c r="A27">
        <v>26</v>
      </c>
      <c r="B27">
        <v>26</v>
      </c>
      <c r="C27" t="str">
        <f>"R"&amp;VLOOKUP(D27,'Описание значений'!$B$4:$C$8,2,FALSE)&amp;"_G"&amp;F27&amp;"_N"&amp;TEXT(G27,"00")</f>
        <v>R01_G02t03_N01</v>
      </c>
      <c r="D27" s="3" t="s">
        <v>2</v>
      </c>
      <c r="E27" s="4" t="s">
        <v>24</v>
      </c>
      <c r="F27" s="3" t="s">
        <v>96</v>
      </c>
      <c r="G27" s="3">
        <v>1</v>
      </c>
      <c r="H27" t="str">
        <f>VLOOKUP(E27,'Описание значений'!$B$11:$C$18,2,FALSE)</f>
        <v>Нет необходимых полей во входных данных</v>
      </c>
      <c r="I27" t="str">
        <f>VLOOKUP(F27,'Описание значений'!$B$21:$C$39,2,FALSE)</f>
        <v>Отсутствуют все или несколько полей и есть неописанные</v>
      </c>
      <c r="J27" s="27" t="s">
        <v>68</v>
      </c>
      <c r="K27">
        <v>1</v>
      </c>
      <c r="L27" t="str">
        <f t="shared" si="2"/>
        <v>Testing/Data_to_import/POST/d26.json</v>
      </c>
      <c r="M27" t="str">
        <f t="shared" si="0"/>
        <v>curl -X POST -d "@Testing/Data_to_import/POST/d26.json" 0.0.0.0:8080/imports</v>
      </c>
      <c r="N27" s="27">
        <v>400</v>
      </c>
      <c r="O27" s="27">
        <f>LOGS!F27</f>
        <v>400</v>
      </c>
      <c r="P27" s="33" t="str">
        <f t="shared" si="1"/>
        <v>OK</v>
      </c>
      <c r="Q27" s="27" t="str">
        <f>LOGS!G27</f>
        <v xml:space="preserve"> One or more fields are missing in import data - key town (citizen 0)</v>
      </c>
      <c r="R27">
        <f>LOGS!H27</f>
        <v>9.7599999999999998E-4</v>
      </c>
    </row>
    <row r="28" spans="1:18" x14ac:dyDescent="0.25">
      <c r="A28">
        <v>27</v>
      </c>
      <c r="B28">
        <v>27</v>
      </c>
      <c r="C28" t="str">
        <f>"R"&amp;VLOOKUP(D28,'Описание значений'!$B$4:$C$8,2,FALSE)&amp;"_G"&amp;F28&amp;"_N"&amp;TEXT(G28,"00")</f>
        <v>R01_G02t03_N02</v>
      </c>
      <c r="D28" s="3" t="s">
        <v>2</v>
      </c>
      <c r="E28" s="4" t="s">
        <v>24</v>
      </c>
      <c r="F28" s="3" t="s">
        <v>96</v>
      </c>
      <c r="G28" s="3">
        <v>2</v>
      </c>
      <c r="H28" t="str">
        <f>VLOOKUP(E28,'Описание значений'!$B$11:$C$18,2,FALSE)</f>
        <v>Нет необходимых полей во входных данных</v>
      </c>
      <c r="I28" t="str">
        <f>VLOOKUP(F28,'Описание значений'!$B$21:$C$39,2,FALSE)</f>
        <v>Отсутствуют все или несколько полей и есть неописанные</v>
      </c>
      <c r="J28" s="27" t="s">
        <v>69</v>
      </c>
      <c r="K28">
        <v>1</v>
      </c>
      <c r="L28" t="str">
        <f t="shared" si="2"/>
        <v>Testing/Data_to_import/POST/d27.json</v>
      </c>
      <c r="M28" t="str">
        <f t="shared" si="0"/>
        <v>curl -X POST -d "@Testing/Data_to_import/POST/d27.json" 0.0.0.0:8080/imports</v>
      </c>
      <c r="N28" s="27">
        <v>400</v>
      </c>
      <c r="O28" s="27">
        <f>LOGS!F28</f>
        <v>400</v>
      </c>
      <c r="P28" s="33" t="str">
        <f t="shared" si="1"/>
        <v>OK</v>
      </c>
      <c r="Q28" s="27" t="str">
        <f>LOGS!G28</f>
        <v xml:space="preserve"> One or more fields are missing in import data - key town (citizen 0)</v>
      </c>
      <c r="R28">
        <f>LOGS!H28</f>
        <v>1.1900000000000001E-3</v>
      </c>
    </row>
    <row r="29" spans="1:18" x14ac:dyDescent="0.25">
      <c r="A29">
        <v>28</v>
      </c>
      <c r="B29">
        <v>28</v>
      </c>
      <c r="C29" t="str">
        <f>"R"&amp;VLOOKUP(D29,'Описание значений'!$B$4:$C$8,2,FALSE)&amp;"_G"&amp;F29&amp;"_N"&amp;TEXT(G29,"00")</f>
        <v>R01_G02t03_N03</v>
      </c>
      <c r="D29" s="3" t="s">
        <v>2</v>
      </c>
      <c r="E29" s="4" t="s">
        <v>24</v>
      </c>
      <c r="F29" s="3" t="s">
        <v>96</v>
      </c>
      <c r="G29" s="3">
        <v>3</v>
      </c>
      <c r="H29" t="str">
        <f>VLOOKUP(E29,'Описание значений'!$B$11:$C$18,2,FALSE)</f>
        <v>Нет необходимых полей во входных данных</v>
      </c>
      <c r="I29" t="str">
        <f>VLOOKUP(F29,'Описание значений'!$B$21:$C$39,2,FALSE)</f>
        <v>Отсутствуют все или несколько полей и есть неописанные</v>
      </c>
      <c r="J29" s="27" t="s">
        <v>70</v>
      </c>
      <c r="K29">
        <v>1</v>
      </c>
      <c r="L29" t="str">
        <f t="shared" si="2"/>
        <v>Testing/Data_to_import/POST/d28.json</v>
      </c>
      <c r="M29" t="str">
        <f t="shared" si="0"/>
        <v>curl -X POST -d "@Testing/Data_to_import/POST/d28.json" 0.0.0.0:8080/imports</v>
      </c>
      <c r="N29" s="27">
        <v>400</v>
      </c>
      <c r="O29" s="27">
        <f>LOGS!F29</f>
        <v>400</v>
      </c>
      <c r="P29" s="33" t="str">
        <f t="shared" si="1"/>
        <v>OK</v>
      </c>
      <c r="Q29" s="27" t="str">
        <f>LOGS!G29</f>
        <v xml:space="preserve"> One or more fields are missing in import data - key name (citizen 0)</v>
      </c>
      <c r="R29">
        <f>LOGS!H29</f>
        <v>1.2329999999999999E-3</v>
      </c>
    </row>
    <row r="30" spans="1:18" x14ac:dyDescent="0.25">
      <c r="A30">
        <v>29</v>
      </c>
      <c r="B30">
        <v>29</v>
      </c>
      <c r="C30" t="str">
        <f>"R"&amp;VLOOKUP(D30,'Описание значений'!$B$4:$C$8,2,FALSE)&amp;"_G"&amp;F30&amp;"_N"&amp;TEXT(G30,"00")</f>
        <v>R01_G02t03_N04</v>
      </c>
      <c r="D30" s="3" t="s">
        <v>2</v>
      </c>
      <c r="E30" s="4" t="s">
        <v>24</v>
      </c>
      <c r="F30" s="3" t="s">
        <v>96</v>
      </c>
      <c r="G30" s="3">
        <v>4</v>
      </c>
      <c r="H30" t="str">
        <f>VLOOKUP(E30,'Описание значений'!$B$11:$C$18,2,FALSE)</f>
        <v>Нет необходимых полей во входных данных</v>
      </c>
      <c r="I30" t="str">
        <f>VLOOKUP(F30,'Описание значений'!$B$21:$C$39,2,FALSE)</f>
        <v>Отсутствуют все или несколько полей и есть неописанные</v>
      </c>
      <c r="J30" s="27" t="s">
        <v>71</v>
      </c>
      <c r="K30">
        <v>1</v>
      </c>
      <c r="L30" t="str">
        <f t="shared" si="2"/>
        <v>Testing/Data_to_import/POST/d29.json</v>
      </c>
      <c r="M30" t="str">
        <f t="shared" si="0"/>
        <v>curl -X POST -d "@Testing/Data_to_import/POST/d29.json" 0.0.0.0:8080/imports</v>
      </c>
      <c r="N30" s="27">
        <v>400</v>
      </c>
      <c r="O30" s="27">
        <f>LOGS!F30</f>
        <v>400</v>
      </c>
      <c r="P30" s="33" t="str">
        <f t="shared" si="1"/>
        <v>OK</v>
      </c>
      <c r="Q30" s="27" t="str">
        <f>LOGS!G30</f>
        <v xml:space="preserve"> One or more fields are missing in import data - key gender (citizen 0)</v>
      </c>
      <c r="R30">
        <f>LOGS!H30</f>
        <v>9.7799999999999992E-4</v>
      </c>
    </row>
    <row r="31" spans="1:18" x14ac:dyDescent="0.25">
      <c r="A31">
        <v>30</v>
      </c>
      <c r="B31">
        <v>30</v>
      </c>
      <c r="C31" t="str">
        <f>"R"&amp;VLOOKUP(D31,'Описание значений'!$B$4:$C$8,2,FALSE)&amp;"_G"&amp;F31&amp;"_N"&amp;TEXT(G31,"00")</f>
        <v>R01_G02t03_N05</v>
      </c>
      <c r="D31" s="3" t="s">
        <v>2</v>
      </c>
      <c r="E31" s="4" t="s">
        <v>24</v>
      </c>
      <c r="F31" s="3" t="s">
        <v>96</v>
      </c>
      <c r="G31" s="3">
        <v>5</v>
      </c>
      <c r="H31" t="str">
        <f>VLOOKUP(E31,'Описание значений'!$B$11:$C$18,2,FALSE)</f>
        <v>Нет необходимых полей во входных данных</v>
      </c>
      <c r="I31" t="str">
        <f>VLOOKUP(F31,'Описание значений'!$B$21:$C$39,2,FALSE)</f>
        <v>Отсутствуют все или несколько полей и есть неописанные</v>
      </c>
      <c r="J31" s="27" t="s">
        <v>72</v>
      </c>
      <c r="K31">
        <v>1</v>
      </c>
      <c r="L31" t="str">
        <f t="shared" si="2"/>
        <v>Testing/Data_to_import/POST/d30.json</v>
      </c>
      <c r="M31" t="str">
        <f t="shared" si="0"/>
        <v>curl -X POST -d "@Testing/Data_to_import/POST/d30.json" 0.0.0.0:8080/imports</v>
      </c>
      <c r="N31" s="27">
        <v>400</v>
      </c>
      <c r="O31" s="27">
        <f>LOGS!F31</f>
        <v>400</v>
      </c>
      <c r="P31" s="33" t="str">
        <f t="shared" si="1"/>
        <v>OK</v>
      </c>
      <c r="Q31" s="27" t="str">
        <f>LOGS!G31</f>
        <v xml:space="preserve"> One or more extra fields in import data - key child (citizen 0)</v>
      </c>
      <c r="R31">
        <f>LOGS!H31</f>
        <v>1.3669999999999999E-3</v>
      </c>
    </row>
    <row r="32" spans="1:18" x14ac:dyDescent="0.25">
      <c r="A32">
        <v>31</v>
      </c>
      <c r="B32">
        <v>31</v>
      </c>
      <c r="C32" t="str">
        <f>"R"&amp;VLOOKUP(D32,'Описание значений'!$B$4:$C$8,2,FALSE)&amp;"_G"&amp;F32&amp;"_N"&amp;TEXT(G32,"00")</f>
        <v>R01_G03t01_N01</v>
      </c>
      <c r="D32" s="5" t="s">
        <v>2</v>
      </c>
      <c r="E32" s="6" t="s">
        <v>19</v>
      </c>
      <c r="F32" s="6" t="s">
        <v>44</v>
      </c>
      <c r="G32" s="5">
        <v>1</v>
      </c>
      <c r="H32" t="str">
        <f>VLOOKUP(E32,'Описание значений'!$B$11:$C$18,2,FALSE)</f>
        <v>Лишние поля во входных данных</v>
      </c>
      <c r="I32" t="str">
        <f>VLOOKUP(F32,'Описание значений'!$B$21:$C$39,2,FALSE)</f>
        <v>Лишние поля во входных данных</v>
      </c>
      <c r="J32" s="27" t="s">
        <v>73</v>
      </c>
      <c r="K32">
        <v>1</v>
      </c>
      <c r="L32" t="str">
        <f t="shared" si="2"/>
        <v>Testing/Data_to_import/POST/d31.json</v>
      </c>
      <c r="M32" t="str">
        <f t="shared" si="0"/>
        <v>curl -X POST -d "@Testing/Data_to_import/POST/d31.json" 0.0.0.0:8080/imports</v>
      </c>
      <c r="N32" s="27">
        <v>400</v>
      </c>
      <c r="O32" s="27">
        <f>LOGS!F32</f>
        <v>400</v>
      </c>
      <c r="P32" s="33" t="str">
        <f t="shared" si="1"/>
        <v>OK</v>
      </c>
      <c r="Q32" s="27" t="str">
        <f>LOGS!G32</f>
        <v xml:space="preserve"> One or more extra fields in import data - key child (citizen 0)</v>
      </c>
      <c r="R32">
        <f>LOGS!H32</f>
        <v>1.013E-3</v>
      </c>
    </row>
    <row r="33" spans="1:18" x14ac:dyDescent="0.25">
      <c r="A33">
        <v>32</v>
      </c>
      <c r="B33">
        <v>32</v>
      </c>
      <c r="C33" t="str">
        <f>"R"&amp;VLOOKUP(D33,'Описание значений'!$B$4:$C$8,2,FALSE)&amp;"_G"&amp;F33&amp;"_N"&amp;TEXT(G33,"00")</f>
        <v>R01_G03t01_N02</v>
      </c>
      <c r="D33" s="5" t="s">
        <v>2</v>
      </c>
      <c r="E33" s="6" t="s">
        <v>19</v>
      </c>
      <c r="F33" s="6" t="s">
        <v>44</v>
      </c>
      <c r="G33" s="5">
        <v>2</v>
      </c>
      <c r="H33" t="str">
        <f>VLOOKUP(E33,'Описание значений'!$B$11:$C$18,2,FALSE)</f>
        <v>Лишние поля во входных данных</v>
      </c>
      <c r="I33" t="str">
        <f>VLOOKUP(F33,'Описание значений'!$B$21:$C$39,2,FALSE)</f>
        <v>Лишние поля во входных данных</v>
      </c>
      <c r="J33" s="27" t="s">
        <v>153</v>
      </c>
      <c r="K33">
        <v>1</v>
      </c>
      <c r="L33" t="str">
        <f t="shared" si="2"/>
        <v>Testing/Data_to_import/POST/d32.json</v>
      </c>
      <c r="M33" t="str">
        <f t="shared" si="0"/>
        <v>curl -X POST -d "@Testing/Data_to_import/POST/d32.json" 0.0.0.0:8080/imports</v>
      </c>
      <c r="N33" s="27">
        <v>400</v>
      </c>
      <c r="O33" s="27">
        <f>LOGS!F33</f>
        <v>400</v>
      </c>
      <c r="P33" s="33" t="str">
        <f t="shared" si="1"/>
        <v>OK</v>
      </c>
      <c r="Q33" s="27" t="str">
        <f>LOGS!G33</f>
        <v xml:space="preserve"> One or more extra fields in import data - key child (citizen 0)</v>
      </c>
      <c r="R33">
        <f>LOGS!H33</f>
        <v>9.9099999999999991E-4</v>
      </c>
    </row>
    <row r="34" spans="1:18" x14ac:dyDescent="0.25">
      <c r="A34">
        <v>33</v>
      </c>
      <c r="B34">
        <v>33</v>
      </c>
      <c r="C34" t="str">
        <f>"R"&amp;VLOOKUP(D34,'Описание значений'!$B$4:$C$8,2,FALSE)&amp;"_G"&amp;F34&amp;"_N"&amp;TEXT(G34,"00")</f>
        <v>R01_G03t01_N03</v>
      </c>
      <c r="D34" s="5" t="s">
        <v>2</v>
      </c>
      <c r="E34" s="6" t="s">
        <v>19</v>
      </c>
      <c r="F34" s="6" t="s">
        <v>44</v>
      </c>
      <c r="G34" s="5">
        <v>3</v>
      </c>
      <c r="H34" t="str">
        <f>VLOOKUP(E34,'Описание значений'!$B$11:$C$18,2,FALSE)</f>
        <v>Лишние поля во входных данных</v>
      </c>
      <c r="I34" t="str">
        <f>VLOOKUP(F34,'Описание значений'!$B$21:$C$39,2,FALSE)</f>
        <v>Лишние поля во входных данных</v>
      </c>
      <c r="J34" s="27" t="s">
        <v>154</v>
      </c>
      <c r="K34">
        <v>1</v>
      </c>
      <c r="L34" t="str">
        <f t="shared" si="2"/>
        <v>Testing/Data_to_import/POST/d33.json</v>
      </c>
      <c r="M34" t="str">
        <f t="shared" si="0"/>
        <v>curl -X POST -d "@Testing/Data_to_import/POST/d33.json" 0.0.0.0:8080/imports</v>
      </c>
      <c r="N34" s="27">
        <v>400</v>
      </c>
      <c r="O34" s="27">
        <f>LOGS!F34</f>
        <v>400</v>
      </c>
      <c r="P34" s="33" t="str">
        <f t="shared" si="1"/>
        <v>OK</v>
      </c>
      <c r="Q34" s="27" t="str">
        <f>LOGS!G34</f>
        <v xml:space="preserve"> One or more extra fields in import data - key child (citizen 0)</v>
      </c>
      <c r="R34">
        <f>LOGS!H34</f>
        <v>1.3270000000000001E-3</v>
      </c>
    </row>
    <row r="35" spans="1:18" x14ac:dyDescent="0.25">
      <c r="A35">
        <v>34</v>
      </c>
      <c r="B35">
        <v>34</v>
      </c>
      <c r="C35" t="str">
        <f>"R"&amp;VLOOKUP(D35,'Описание значений'!$B$4:$C$8,2,FALSE)&amp;"_G"&amp;F35&amp;"_N"&amp;TEXT(G35,"00")</f>
        <v>R01_G04t01_N01</v>
      </c>
      <c r="D35" s="3" t="s">
        <v>2</v>
      </c>
      <c r="E35" s="4" t="s">
        <v>20</v>
      </c>
      <c r="F35" s="4" t="s">
        <v>45</v>
      </c>
      <c r="G35" s="3">
        <v>1</v>
      </c>
      <c r="H35" t="str">
        <f>VLOOKUP(E35,'Описание значений'!$B$11:$C$18,2,FALSE)</f>
        <v>Ошибка в значениях во входных данных</v>
      </c>
      <c r="I35" t="str">
        <f>VLOOKUP(F35,'Описание значений'!$B$21:$C$39,2,FALSE)</f>
        <v>Присутствует отрицательное число</v>
      </c>
      <c r="J35" s="27" t="s">
        <v>75</v>
      </c>
      <c r="K35">
        <v>1</v>
      </c>
      <c r="L35" t="str">
        <f t="shared" si="2"/>
        <v>Testing/Data_to_import/POST/d34.json</v>
      </c>
      <c r="M35" t="str">
        <f t="shared" si="0"/>
        <v>curl -X POST -d "@Testing/Data_to_import/POST/d34.json" 0.0.0.0:8080/imports</v>
      </c>
      <c r="N35" s="27">
        <v>400</v>
      </c>
      <c r="O35" s="27">
        <f>LOGS!F35</f>
        <v>400</v>
      </c>
      <c r="P35" s="33" t="str">
        <f t="shared" si="1"/>
        <v>OK</v>
      </c>
      <c r="Q35" s="27" t="str">
        <f>LOGS!G35</f>
        <v xml:space="preserve"> One or more values in import data are invalid - key citizen_id (citizen 0)</v>
      </c>
      <c r="R35">
        <f>LOGS!H35</f>
        <v>1.379E-3</v>
      </c>
    </row>
    <row r="36" spans="1:18" x14ac:dyDescent="0.25">
      <c r="A36">
        <v>35</v>
      </c>
      <c r="B36">
        <v>35</v>
      </c>
      <c r="C36" t="str">
        <f>"R"&amp;VLOOKUP(D36,'Описание значений'!$B$4:$C$8,2,FALSE)&amp;"_G"&amp;F36&amp;"_N"&amp;TEXT(G36,"00")</f>
        <v>R01_G04t01_N02</v>
      </c>
      <c r="D36" s="3" t="s">
        <v>2</v>
      </c>
      <c r="E36" s="4" t="s">
        <v>20</v>
      </c>
      <c r="F36" s="4" t="s">
        <v>45</v>
      </c>
      <c r="G36" s="3">
        <v>2</v>
      </c>
      <c r="H36" t="str">
        <f>VLOOKUP(E36,'Описание значений'!$B$11:$C$18,2,FALSE)</f>
        <v>Ошибка в значениях во входных данных</v>
      </c>
      <c r="I36" t="str">
        <f>VLOOKUP(F36,'Описание значений'!$B$21:$C$39,2,FALSE)</f>
        <v>Присутствует отрицательное число</v>
      </c>
      <c r="J36" s="27" t="s">
        <v>76</v>
      </c>
      <c r="K36">
        <v>1</v>
      </c>
      <c r="L36" t="str">
        <f t="shared" si="2"/>
        <v>Testing/Data_to_import/POST/d35.json</v>
      </c>
      <c r="M36" t="str">
        <f t="shared" si="0"/>
        <v>curl -X POST -d "@Testing/Data_to_import/POST/d35.json" 0.0.0.0:8080/imports</v>
      </c>
      <c r="N36" s="27">
        <v>400</v>
      </c>
      <c r="O36" s="27">
        <f>LOGS!F36</f>
        <v>400</v>
      </c>
      <c r="P36" s="33" t="str">
        <f t="shared" si="1"/>
        <v>OK</v>
      </c>
      <c r="Q36" s="27" t="str">
        <f>LOGS!G36</f>
        <v xml:space="preserve"> One or more values in import data are invalid - key apartment (citizen 0)</v>
      </c>
      <c r="R36">
        <f>LOGS!H36</f>
        <v>1.586E-3</v>
      </c>
    </row>
    <row r="37" spans="1:18" x14ac:dyDescent="0.25">
      <c r="A37">
        <v>36</v>
      </c>
      <c r="B37">
        <v>36</v>
      </c>
      <c r="C37" t="str">
        <f>"R"&amp;VLOOKUP(D37,'Описание значений'!$B$4:$C$8,2,FALSE)&amp;"_G"&amp;F37&amp;"_N"&amp;TEXT(G37,"00")</f>
        <v>R01_G04t02_N01</v>
      </c>
      <c r="D37" s="8" t="s">
        <v>2</v>
      </c>
      <c r="E37" s="8" t="s">
        <v>20</v>
      </c>
      <c r="F37" s="8" t="s">
        <v>46</v>
      </c>
      <c r="G37" s="8">
        <v>1</v>
      </c>
      <c r="H37" t="str">
        <f>VLOOKUP(E37,'Описание значений'!$B$11:$C$18,2,FALSE)</f>
        <v>Ошибка в значениях во входных данных</v>
      </c>
      <c r="I37" t="str">
        <f>VLOOKUP(F37,'Описание значений'!$B$21:$C$39,2,FALSE)</f>
        <v xml:space="preserve">Неверные длина строки/числовое значение </v>
      </c>
      <c r="J37" s="27" t="s">
        <v>77</v>
      </c>
      <c r="K37">
        <v>1</v>
      </c>
      <c r="L37" t="str">
        <f t="shared" si="2"/>
        <v>Testing/Data_to_import/POST/d36.json</v>
      </c>
      <c r="M37" t="str">
        <f t="shared" si="0"/>
        <v>curl -X POST -d "@Testing/Data_to_import/POST/d36.json" 0.0.0.0:8080/imports</v>
      </c>
      <c r="N37" s="27">
        <v>400</v>
      </c>
      <c r="O37" s="27">
        <f>LOGS!F37</f>
        <v>400</v>
      </c>
      <c r="P37" s="33" t="str">
        <f t="shared" si="1"/>
        <v>OK</v>
      </c>
      <c r="Q37" s="27" t="str">
        <f>LOGS!G37</f>
        <v xml:space="preserve"> Import data is not in JSON format</v>
      </c>
      <c r="R37">
        <f>LOGS!H37</f>
        <v>1.042E-3</v>
      </c>
    </row>
    <row r="38" spans="1:18" x14ac:dyDescent="0.25">
      <c r="A38">
        <v>37</v>
      </c>
      <c r="B38">
        <v>37</v>
      </c>
      <c r="C38" t="str">
        <f>"R"&amp;VLOOKUP(D38,'Описание значений'!$B$4:$C$8,2,FALSE)&amp;"_G"&amp;F38&amp;"_N"&amp;TEXT(G38,"00")</f>
        <v>R01_G04t02_N02</v>
      </c>
      <c r="D38" s="8" t="s">
        <v>2</v>
      </c>
      <c r="E38" s="8" t="s">
        <v>20</v>
      </c>
      <c r="F38" s="8" t="s">
        <v>46</v>
      </c>
      <c r="G38" s="8">
        <v>2</v>
      </c>
      <c r="H38" t="str">
        <f>VLOOKUP(E38,'Описание значений'!$B$11:$C$18,2,FALSE)</f>
        <v>Ошибка в значениях во входных данных</v>
      </c>
      <c r="I38" t="str">
        <f>VLOOKUP(F38,'Описание значений'!$B$21:$C$39,2,FALSE)</f>
        <v xml:space="preserve">Неверные длина строки/числовое значение </v>
      </c>
      <c r="J38" s="27" t="s">
        <v>78</v>
      </c>
      <c r="K38">
        <v>1</v>
      </c>
      <c r="L38" t="str">
        <f t="shared" si="2"/>
        <v>Testing/Data_to_import/POST/d37.json</v>
      </c>
      <c r="M38" t="str">
        <f t="shared" si="0"/>
        <v>curl -X POST -d "@Testing/Data_to_import/POST/d37.json" 0.0.0.0:8080/imports</v>
      </c>
      <c r="N38" s="27">
        <v>400</v>
      </c>
      <c r="O38" s="27">
        <f>LOGS!F38</f>
        <v>400</v>
      </c>
      <c r="P38" s="33" t="str">
        <f t="shared" si="1"/>
        <v>OK</v>
      </c>
      <c r="Q38" s="27" t="str">
        <f>LOGS!G38</f>
        <v xml:space="preserve"> One or more values in import data are invalid - key town (citizen 1)</v>
      </c>
      <c r="R38">
        <f>LOGS!H38</f>
        <v>1.815E-3</v>
      </c>
    </row>
    <row r="39" spans="1:18" x14ac:dyDescent="0.25">
      <c r="A39">
        <v>38</v>
      </c>
      <c r="B39">
        <v>38</v>
      </c>
      <c r="C39" t="str">
        <f>"R"&amp;VLOOKUP(D39,'Описание значений'!$B$4:$C$8,2,FALSE)&amp;"_G"&amp;F39&amp;"_N"&amp;TEXT(G39,"00")</f>
        <v>R01_G04t02_N03</v>
      </c>
      <c r="D39" s="8" t="s">
        <v>2</v>
      </c>
      <c r="E39" s="8" t="s">
        <v>20</v>
      </c>
      <c r="F39" s="8" t="s">
        <v>46</v>
      </c>
      <c r="G39" s="8">
        <v>3</v>
      </c>
      <c r="H39" t="str">
        <f>VLOOKUP(E39,'Описание значений'!$B$11:$C$18,2,FALSE)</f>
        <v>Ошибка в значениях во входных данных</v>
      </c>
      <c r="I39" t="str">
        <f>VLOOKUP(F39,'Описание значений'!$B$21:$C$39,2,FALSE)</f>
        <v xml:space="preserve">Неверные длина строки/числовое значение </v>
      </c>
      <c r="J39" s="27" t="s">
        <v>79</v>
      </c>
      <c r="K39">
        <v>1</v>
      </c>
      <c r="L39" t="str">
        <f t="shared" si="2"/>
        <v>Testing/Data_to_import/POST/d38.json</v>
      </c>
      <c r="M39" t="str">
        <f t="shared" si="0"/>
        <v>curl -X POST -d "@Testing/Data_to_import/POST/d38.json" 0.0.0.0:8080/imports</v>
      </c>
      <c r="N39" s="27">
        <v>400</v>
      </c>
      <c r="O39" s="27">
        <f>LOGS!F39</f>
        <v>400</v>
      </c>
      <c r="P39" s="33" t="str">
        <f t="shared" si="1"/>
        <v>OK</v>
      </c>
      <c r="Q39" s="27" t="str">
        <f>LOGS!G39</f>
        <v xml:space="preserve"> One or more values in import data are invalid - key building (citizen 0)</v>
      </c>
      <c r="R39">
        <f>LOGS!H39</f>
        <v>1.3600000000000001E-3</v>
      </c>
    </row>
    <row r="40" spans="1:18" x14ac:dyDescent="0.25">
      <c r="A40">
        <v>39</v>
      </c>
      <c r="B40">
        <v>39</v>
      </c>
      <c r="C40" t="str">
        <f>"R"&amp;VLOOKUP(D40,'Описание значений'!$B$4:$C$8,2,FALSE)&amp;"_G"&amp;F40&amp;"_N"&amp;TEXT(G40,"00")</f>
        <v>R01_G04t02_N04</v>
      </c>
      <c r="D40" s="8" t="s">
        <v>2</v>
      </c>
      <c r="E40" s="8" t="s">
        <v>20</v>
      </c>
      <c r="F40" s="8" t="s">
        <v>46</v>
      </c>
      <c r="G40" s="8">
        <v>4</v>
      </c>
      <c r="H40" t="str">
        <f>VLOOKUP(E40,'Описание значений'!$B$11:$C$18,2,FALSE)</f>
        <v>Ошибка в значениях во входных данных</v>
      </c>
      <c r="I40" t="str">
        <f>VLOOKUP(F40,'Описание значений'!$B$21:$C$39,2,FALSE)</f>
        <v xml:space="preserve">Неверные длина строки/числовое значение </v>
      </c>
      <c r="J40" s="27" t="s">
        <v>80</v>
      </c>
      <c r="K40">
        <v>1</v>
      </c>
      <c r="L40" t="str">
        <f t="shared" si="2"/>
        <v>Testing/Data_to_import/POST/d39.json</v>
      </c>
      <c r="M40" t="str">
        <f t="shared" si="0"/>
        <v>curl -X POST -d "@Testing/Data_to_import/POST/d39.json" 0.0.0.0:8080/imports</v>
      </c>
      <c r="N40" s="27">
        <v>400</v>
      </c>
      <c r="O40" s="27">
        <f>LOGS!F40</f>
        <v>400</v>
      </c>
      <c r="P40" s="33" t="str">
        <f t="shared" si="1"/>
        <v>OK</v>
      </c>
      <c r="Q40" s="27" t="str">
        <f>LOGS!G40</f>
        <v xml:space="preserve"> Import data is not in JSON format</v>
      </c>
      <c r="R40">
        <f>LOGS!H40</f>
        <v>1.005E-3</v>
      </c>
    </row>
    <row r="41" spans="1:18" x14ac:dyDescent="0.25">
      <c r="A41">
        <v>40</v>
      </c>
      <c r="B41">
        <v>40</v>
      </c>
      <c r="C41" t="str">
        <f>"R"&amp;VLOOKUP(D41,'Описание значений'!$B$4:$C$8,2,FALSE)&amp;"_G"&amp;F41&amp;"_N"&amp;TEXT(G41,"00")</f>
        <v>R01_G04t02_N05</v>
      </c>
      <c r="D41" s="8" t="s">
        <v>2</v>
      </c>
      <c r="E41" s="8" t="s">
        <v>20</v>
      </c>
      <c r="F41" s="8" t="s">
        <v>46</v>
      </c>
      <c r="G41" s="8">
        <v>5</v>
      </c>
      <c r="H41" t="str">
        <f>VLOOKUP(E41,'Описание значений'!$B$11:$C$18,2,FALSE)</f>
        <v>Ошибка в значениях во входных данных</v>
      </c>
      <c r="I41" t="str">
        <f>VLOOKUP(F41,'Описание значений'!$B$21:$C$39,2,FALSE)</f>
        <v xml:space="preserve">Неверные длина строки/числовое значение </v>
      </c>
      <c r="J41" s="27" t="s">
        <v>81</v>
      </c>
      <c r="K41">
        <v>1</v>
      </c>
      <c r="L41" t="str">
        <f t="shared" si="2"/>
        <v>Testing/Data_to_import/POST/d40.json</v>
      </c>
      <c r="M41" t="str">
        <f t="shared" si="0"/>
        <v>curl -X POST -d "@Testing/Data_to_import/POST/d40.json" 0.0.0.0:8080/imports</v>
      </c>
      <c r="N41" s="27">
        <v>400</v>
      </c>
      <c r="O41" s="27">
        <f>LOGS!F41</f>
        <v>400</v>
      </c>
      <c r="P41" s="33" t="str">
        <f t="shared" si="1"/>
        <v>OK</v>
      </c>
      <c r="Q41" s="27" t="str">
        <f>LOGS!G41</f>
        <v xml:space="preserve"> One or more values in import data are invalid - key birth_date (citizen 9)</v>
      </c>
      <c r="R41">
        <f>LOGS!H41</f>
        <v>1.428E-3</v>
      </c>
    </row>
    <row r="42" spans="1:18" x14ac:dyDescent="0.25">
      <c r="A42">
        <v>41</v>
      </c>
      <c r="B42">
        <v>41</v>
      </c>
      <c r="C42" t="str">
        <f>"R"&amp;VLOOKUP(D42,'Описание значений'!$B$4:$C$8,2,FALSE)&amp;"_G"&amp;F42&amp;"_N"&amp;TEXT(G42,"00")</f>
        <v>R01_G04t02_N06</v>
      </c>
      <c r="D42" s="8" t="s">
        <v>2</v>
      </c>
      <c r="E42" s="8" t="s">
        <v>20</v>
      </c>
      <c r="F42" s="8" t="s">
        <v>46</v>
      </c>
      <c r="G42" s="8">
        <v>6</v>
      </c>
      <c r="H42" t="str">
        <f>VLOOKUP(E42,'Описание значений'!$B$11:$C$18,2,FALSE)</f>
        <v>Ошибка в значениях во входных данных</v>
      </c>
      <c r="I42" t="str">
        <f>VLOOKUP(F42,'Описание значений'!$B$21:$C$39,2,FALSE)</f>
        <v xml:space="preserve">Неверные длина строки/числовое значение </v>
      </c>
      <c r="J42" s="27" t="s">
        <v>121</v>
      </c>
      <c r="K42">
        <v>1</v>
      </c>
      <c r="L42" t="str">
        <f t="shared" si="2"/>
        <v>Testing/Data_to_import/POST/d41.json</v>
      </c>
      <c r="M42" t="str">
        <f t="shared" si="0"/>
        <v>curl -X POST -d "@Testing/Data_to_import/POST/d41.json" 0.0.0.0:8080/imports</v>
      </c>
      <c r="N42" s="27">
        <v>400</v>
      </c>
      <c r="O42" s="27">
        <f>LOGS!F42</f>
        <v>400</v>
      </c>
      <c r="P42" s="33" t="str">
        <f t="shared" si="1"/>
        <v>OK</v>
      </c>
      <c r="Q42" s="27" t="str">
        <f>LOGS!G42</f>
        <v xml:space="preserve"> One or more values in import data are invalid - key name (citizen 0)</v>
      </c>
      <c r="R42">
        <f>LOGS!H42</f>
        <v>1.441E-3</v>
      </c>
    </row>
    <row r="43" spans="1:18" x14ac:dyDescent="0.25">
      <c r="A43">
        <v>42</v>
      </c>
      <c r="B43">
        <v>42</v>
      </c>
      <c r="C43" t="str">
        <f>"R"&amp;VLOOKUP(D43,'Описание значений'!$B$4:$C$8,2,FALSE)&amp;"_G"&amp;F43&amp;"_N"&amp;TEXT(G43,"00")</f>
        <v>R01_G04t02_N07</v>
      </c>
      <c r="D43" s="8" t="s">
        <v>2</v>
      </c>
      <c r="E43" s="8" t="s">
        <v>20</v>
      </c>
      <c r="F43" s="8" t="s">
        <v>46</v>
      </c>
      <c r="G43" s="8">
        <v>7</v>
      </c>
      <c r="H43" t="str">
        <f>VLOOKUP(E43,'Описание значений'!$B$11:$C$18,2,FALSE)</f>
        <v>Ошибка в значениях во входных данных</v>
      </c>
      <c r="I43" t="str">
        <f>VLOOKUP(F43,'Описание значений'!$B$21:$C$39,2,FALSE)</f>
        <v xml:space="preserve">Неверные длина строки/числовое значение </v>
      </c>
      <c r="J43" s="27" t="s">
        <v>122</v>
      </c>
      <c r="K43">
        <v>1</v>
      </c>
      <c r="L43" t="str">
        <f t="shared" si="2"/>
        <v>Testing/Data_to_import/POST/d42.json</v>
      </c>
      <c r="M43" t="str">
        <f t="shared" si="0"/>
        <v>curl -X POST -d "@Testing/Data_to_import/POST/d42.json" 0.0.0.0:8080/imports</v>
      </c>
      <c r="N43" s="27">
        <v>400</v>
      </c>
      <c r="O43" s="27">
        <f>LOGS!F43</f>
        <v>400</v>
      </c>
      <c r="P43" s="33" t="str">
        <f t="shared" si="1"/>
        <v>OK</v>
      </c>
      <c r="Q43" s="27" t="str">
        <f>LOGS!G43</f>
        <v xml:space="preserve"> One or more values in import data are invalid - key apartment (citizen 0)</v>
      </c>
      <c r="R43">
        <f>LOGS!H43</f>
        <v>1.449E-3</v>
      </c>
    </row>
    <row r="44" spans="1:18" x14ac:dyDescent="0.25">
      <c r="A44">
        <v>43</v>
      </c>
      <c r="B44">
        <v>43</v>
      </c>
      <c r="C44" t="str">
        <f>"R"&amp;VLOOKUP(D44,'Описание значений'!$B$4:$C$8,2,FALSE)&amp;"_G"&amp;F44&amp;"_N"&amp;TEXT(G44,"00")</f>
        <v>R01_G04t03_N01</v>
      </c>
      <c r="D44" s="3" t="s">
        <v>2</v>
      </c>
      <c r="E44" s="4" t="s">
        <v>20</v>
      </c>
      <c r="F44" s="4" t="s">
        <v>87</v>
      </c>
      <c r="G44" s="4">
        <v>1</v>
      </c>
      <c r="H44" t="str">
        <f>VLOOKUP(E44,'Описание значений'!$B$11:$C$18,2,FALSE)</f>
        <v>Ошибка в значениях во входных данных</v>
      </c>
      <c r="I44" t="str">
        <f>VLOOKUP(F44,'Описание значений'!$B$21:$C$39,2,FALSE)</f>
        <v>Дата не является валидной</v>
      </c>
      <c r="J44" s="27" t="s">
        <v>82</v>
      </c>
      <c r="K44">
        <v>1</v>
      </c>
      <c r="L44" t="str">
        <f t="shared" si="2"/>
        <v>Testing/Data_to_import/POST/d43.json</v>
      </c>
      <c r="M44" t="str">
        <f t="shared" si="0"/>
        <v>curl -X POST -d "@Testing/Data_to_import/POST/d43.json" 0.0.0.0:8080/imports</v>
      </c>
      <c r="N44" s="27">
        <v>400</v>
      </c>
      <c r="O44" s="27">
        <f>LOGS!F44</f>
        <v>400</v>
      </c>
      <c r="P44" s="33" t="str">
        <f t="shared" si="1"/>
        <v>OK</v>
      </c>
      <c r="Q44" s="27" t="str">
        <f>LOGS!G44</f>
        <v xml:space="preserve"> birth_date is invaild or has incorrect format, must be dd.mm.yyyy (citizen 0)</v>
      </c>
      <c r="R44">
        <f>LOGS!H44</f>
        <v>1.4159999999999999E-3</v>
      </c>
    </row>
    <row r="45" spans="1:18" x14ac:dyDescent="0.25">
      <c r="A45">
        <v>44</v>
      </c>
      <c r="B45">
        <v>44</v>
      </c>
      <c r="C45" t="str">
        <f>"R"&amp;VLOOKUP(D45,'Описание значений'!$B$4:$C$8,2,FALSE)&amp;"_G"&amp;F45&amp;"_N"&amp;TEXT(G45,"00")</f>
        <v>R01_G04t03_N02</v>
      </c>
      <c r="D45" s="3" t="s">
        <v>2</v>
      </c>
      <c r="E45" s="4" t="s">
        <v>20</v>
      </c>
      <c r="F45" s="4" t="s">
        <v>87</v>
      </c>
      <c r="G45" s="4">
        <v>2</v>
      </c>
      <c r="H45" t="str">
        <f>VLOOKUP(E45,'Описание значений'!$B$11:$C$18,2,FALSE)</f>
        <v>Ошибка в значениях во входных данных</v>
      </c>
      <c r="I45" t="str">
        <f>VLOOKUP(F45,'Описание значений'!$B$21:$C$39,2,FALSE)</f>
        <v>Дата не является валидной</v>
      </c>
      <c r="J45" s="27" t="s">
        <v>83</v>
      </c>
      <c r="K45">
        <v>1</v>
      </c>
      <c r="L45" t="str">
        <f t="shared" si="2"/>
        <v>Testing/Data_to_import/POST/d44.json</v>
      </c>
      <c r="M45" t="str">
        <f t="shared" si="0"/>
        <v>curl -X POST -d "@Testing/Data_to_import/POST/d44.json" 0.0.0.0:8080/imports</v>
      </c>
      <c r="N45" s="27">
        <v>400</v>
      </c>
      <c r="O45" s="27">
        <f>LOGS!F45</f>
        <v>400</v>
      </c>
      <c r="P45" s="33" t="str">
        <f t="shared" si="1"/>
        <v>OK</v>
      </c>
      <c r="Q45" s="27" t="str">
        <f>LOGS!G45</f>
        <v xml:space="preserve"> birth_date is invaild or has incorrect format, must be dd.mm.yyyy (citizen 1)</v>
      </c>
      <c r="R45">
        <f>LOGS!H45</f>
        <v>1.4469999999999999E-3</v>
      </c>
    </row>
    <row r="46" spans="1:18" x14ac:dyDescent="0.25">
      <c r="A46">
        <v>45</v>
      </c>
      <c r="B46">
        <v>45</v>
      </c>
      <c r="C46" t="str">
        <f>"R"&amp;VLOOKUP(D46,'Описание значений'!$B$4:$C$8,2,FALSE)&amp;"_G"&amp;F46&amp;"_N"&amp;TEXT(G46,"00")</f>
        <v>R01_G04t03_N03</v>
      </c>
      <c r="D46" s="3" t="s">
        <v>2</v>
      </c>
      <c r="E46" s="4" t="s">
        <v>20</v>
      </c>
      <c r="F46" s="4" t="s">
        <v>87</v>
      </c>
      <c r="G46" s="4">
        <v>3</v>
      </c>
      <c r="H46" t="str">
        <f>VLOOKUP(E46,'Описание значений'!$B$11:$C$18,2,FALSE)</f>
        <v>Ошибка в значениях во входных данных</v>
      </c>
      <c r="I46" t="str">
        <f>VLOOKUP(F46,'Описание значений'!$B$21:$C$39,2,FALSE)</f>
        <v>Дата не является валидной</v>
      </c>
      <c r="J46" s="27" t="s">
        <v>120</v>
      </c>
      <c r="K46">
        <v>1</v>
      </c>
      <c r="L46" t="str">
        <f t="shared" si="2"/>
        <v>Testing/Data_to_import/POST/d45.json</v>
      </c>
      <c r="M46" t="str">
        <f t="shared" si="0"/>
        <v>curl -X POST -d "@Testing/Data_to_import/POST/d45.json" 0.0.0.0:8080/imports</v>
      </c>
      <c r="N46" s="27">
        <v>400</v>
      </c>
      <c r="O46" s="27">
        <f>LOGS!F46</f>
        <v>400</v>
      </c>
      <c r="P46" s="33" t="str">
        <f t="shared" si="1"/>
        <v>OK</v>
      </c>
      <c r="Q46" s="27" t="str">
        <f>LOGS!G46</f>
        <v xml:space="preserve"> Newborn citizens and time travelers are not supported. Check birth_date (citizen 1)</v>
      </c>
      <c r="R46">
        <f>LOGS!H46</f>
        <v>2.5630000000000002E-3</v>
      </c>
    </row>
    <row r="47" spans="1:18" x14ac:dyDescent="0.25">
      <c r="A47">
        <v>46</v>
      </c>
      <c r="B47">
        <v>46</v>
      </c>
      <c r="C47" t="str">
        <f>"R"&amp;VLOOKUP(D47,'Описание значений'!$B$4:$C$8,2,FALSE)&amp;"_G"&amp;F47&amp;"_N"&amp;TEXT(G47,"00")</f>
        <v>R01_G04t04_N01</v>
      </c>
      <c r="D47" s="8" t="s">
        <v>2</v>
      </c>
      <c r="E47" s="8" t="s">
        <v>20</v>
      </c>
      <c r="F47" s="8" t="s">
        <v>100</v>
      </c>
      <c r="G47" s="8">
        <v>1</v>
      </c>
      <c r="H47" t="str">
        <f>VLOOKUP(E47,'Описание значений'!$B$11:$C$18,2,FALSE)</f>
        <v>Ошибка в значениях во входных данных</v>
      </c>
      <c r="I47" t="str">
        <f>VLOOKUP(F47,'Описание значений'!$B$21:$C$39,2,FALSE)</f>
        <v>Пол не является валидным</v>
      </c>
      <c r="J47" s="27" t="s">
        <v>84</v>
      </c>
      <c r="K47">
        <v>1</v>
      </c>
      <c r="L47" t="str">
        <f t="shared" si="2"/>
        <v>Testing/Data_to_import/POST/d46.json</v>
      </c>
      <c r="M47" t="str">
        <f t="shared" si="0"/>
        <v>curl -X POST -d "@Testing/Data_to_import/POST/d46.json" 0.0.0.0:8080/imports</v>
      </c>
      <c r="N47" s="27">
        <v>400</v>
      </c>
      <c r="O47" s="27">
        <f>LOGS!F47</f>
        <v>400</v>
      </c>
      <c r="P47" s="33" t="str">
        <f t="shared" si="1"/>
        <v>OK</v>
      </c>
      <c r="Q47" s="27" t="str">
        <f>LOGS!G47</f>
        <v xml:space="preserve"> Invalid gender (citizen 0)</v>
      </c>
      <c r="R47">
        <f>LOGS!H47</f>
        <v>1.885E-3</v>
      </c>
    </row>
    <row r="48" spans="1:18" x14ac:dyDescent="0.25">
      <c r="A48">
        <v>47</v>
      </c>
      <c r="B48">
        <v>47</v>
      </c>
      <c r="C48" t="str">
        <f>"R"&amp;VLOOKUP(D48,'Описание значений'!$B$4:$C$8,2,FALSE)&amp;"_G"&amp;F48&amp;"_N"&amp;TEXT(G48,"00")</f>
        <v>R01_G04t04_N02</v>
      </c>
      <c r="D48" s="8" t="s">
        <v>2</v>
      </c>
      <c r="E48" s="8" t="s">
        <v>20</v>
      </c>
      <c r="F48" s="8" t="s">
        <v>100</v>
      </c>
      <c r="G48" s="8">
        <v>2</v>
      </c>
      <c r="H48" t="str">
        <f>VLOOKUP(E48,'Описание значений'!$B$11:$C$18,2,FALSE)</f>
        <v>Ошибка в значениях во входных данных</v>
      </c>
      <c r="I48" t="str">
        <f>VLOOKUP(F48,'Описание значений'!$B$21:$C$39,2,FALSE)</f>
        <v>Пол не является валидным</v>
      </c>
      <c r="J48" s="27" t="s">
        <v>85</v>
      </c>
      <c r="K48">
        <v>1</v>
      </c>
      <c r="L48" t="str">
        <f t="shared" si="2"/>
        <v>Testing/Data_to_import/POST/d47.json</v>
      </c>
      <c r="M48" t="str">
        <f t="shared" si="0"/>
        <v>curl -X POST -d "@Testing/Data_to_import/POST/d47.json" 0.0.0.0:8080/imports</v>
      </c>
      <c r="N48" s="27">
        <v>400</v>
      </c>
      <c r="O48" s="27">
        <f>LOGS!F48</f>
        <v>400</v>
      </c>
      <c r="P48" s="33" t="str">
        <f t="shared" si="1"/>
        <v>OK</v>
      </c>
      <c r="Q48" s="27" t="str">
        <f>LOGS!G48</f>
        <v xml:space="preserve"> Invalid gender (citizen 1)</v>
      </c>
      <c r="R48">
        <f>LOGS!H48</f>
        <v>1.4549999999999999E-3</v>
      </c>
    </row>
    <row r="49" spans="1:18" x14ac:dyDescent="0.25">
      <c r="A49">
        <v>48</v>
      </c>
      <c r="B49">
        <v>48</v>
      </c>
      <c r="C49" t="str">
        <f>"R"&amp;VLOOKUP(D49,'Описание значений'!$B$4:$C$8,2,FALSE)&amp;"_G"&amp;F49&amp;"_N"&amp;TEXT(G49,"00")</f>
        <v>R01_G04t04_N03</v>
      </c>
      <c r="D49" s="8" t="s">
        <v>2</v>
      </c>
      <c r="E49" s="8" t="s">
        <v>20</v>
      </c>
      <c r="F49" s="8" t="s">
        <v>100</v>
      </c>
      <c r="G49" s="7">
        <v>3</v>
      </c>
      <c r="H49" t="str">
        <f>VLOOKUP(E49,'Описание значений'!$B$11:$C$18,2,FALSE)</f>
        <v>Ошибка в значениях во входных данных</v>
      </c>
      <c r="I49" t="str">
        <f>VLOOKUP(F49,'Описание значений'!$B$21:$C$39,2,FALSE)</f>
        <v>Пол не является валидным</v>
      </c>
      <c r="J49" s="27" t="s">
        <v>86</v>
      </c>
      <c r="K49">
        <v>1</v>
      </c>
      <c r="L49" t="str">
        <f t="shared" si="2"/>
        <v>Testing/Data_to_import/POST/d48.json</v>
      </c>
      <c r="M49" t="str">
        <f t="shared" si="0"/>
        <v>curl -X POST -d "@Testing/Data_to_import/POST/d48.json" 0.0.0.0:8080/imports</v>
      </c>
      <c r="N49" s="27">
        <v>400</v>
      </c>
      <c r="O49" s="27">
        <f>LOGS!F49</f>
        <v>400</v>
      </c>
      <c r="P49" s="33" t="str">
        <f t="shared" si="1"/>
        <v>OK</v>
      </c>
      <c r="Q49" s="27" t="str">
        <f>LOGS!G49</f>
        <v xml:space="preserve"> Invalid gender (citizen 2)</v>
      </c>
      <c r="R49">
        <f>LOGS!H49</f>
        <v>1.387E-3</v>
      </c>
    </row>
    <row r="50" spans="1:18" x14ac:dyDescent="0.25">
      <c r="A50">
        <v>49</v>
      </c>
      <c r="B50">
        <v>49</v>
      </c>
      <c r="C50" t="str">
        <f>"R"&amp;VLOOKUP(D50,'Описание значений'!$B$4:$C$8,2,FALSE)&amp;"_G"&amp;F50&amp;"_N"&amp;TEXT(G50,"00")</f>
        <v>R01_G04t05_N01</v>
      </c>
      <c r="D50" s="3" t="s">
        <v>2</v>
      </c>
      <c r="E50" s="4" t="s">
        <v>20</v>
      </c>
      <c r="F50" s="4" t="s">
        <v>99</v>
      </c>
      <c r="G50" s="4">
        <v>1</v>
      </c>
      <c r="H50" t="str">
        <f>VLOOKUP(E50,'Описание значений'!$B$11:$C$18,2,FALSE)</f>
        <v>Ошибка в значениях во входных данных</v>
      </c>
      <c r="I50" t="str">
        <f>VLOOKUP(F50,'Описание значений'!$B$21:$C$39,2,FALSE)</f>
        <v>Дублирование citizen_id</v>
      </c>
      <c r="J50" s="27" t="s">
        <v>118</v>
      </c>
      <c r="K50">
        <v>1</v>
      </c>
      <c r="L50" t="str">
        <f t="shared" si="2"/>
        <v>Testing/Data_to_import/POST/d49.json</v>
      </c>
      <c r="M50" t="str">
        <f t="shared" si="0"/>
        <v>curl -X POST -d "@Testing/Data_to_import/POST/d49.json" 0.0.0.0:8080/imports</v>
      </c>
      <c r="N50" s="27">
        <v>400</v>
      </c>
      <c r="O50" s="27">
        <f>LOGS!F50</f>
        <v>400</v>
      </c>
      <c r="P50" s="33" t="str">
        <f t="shared" si="1"/>
        <v>OK</v>
      </c>
      <c r="Q50" s="27" t="str">
        <f>LOGS!G50</f>
        <v xml:space="preserve"> Duplicate citizen_id in import data</v>
      </c>
      <c r="R50">
        <f>LOGS!H50</f>
        <v>1.619E-3</v>
      </c>
    </row>
    <row r="51" spans="1:18" x14ac:dyDescent="0.25">
      <c r="A51">
        <v>50</v>
      </c>
      <c r="B51">
        <v>50</v>
      </c>
      <c r="C51" t="str">
        <f>"R"&amp;VLOOKUP(D51,'Описание значений'!$B$4:$C$8,2,FALSE)&amp;"_G"&amp;F51&amp;"_N"&amp;TEXT(G51,"00")</f>
        <v>R01_G04t05_N02</v>
      </c>
      <c r="D51" s="3" t="s">
        <v>2</v>
      </c>
      <c r="E51" s="4" t="s">
        <v>20</v>
      </c>
      <c r="F51" s="4" t="s">
        <v>99</v>
      </c>
      <c r="G51" s="4">
        <v>2</v>
      </c>
      <c r="H51" t="str">
        <f>VLOOKUP(E51,'Описание значений'!$B$11:$C$18,2,FALSE)</f>
        <v>Ошибка в значениях во входных данных</v>
      </c>
      <c r="I51" t="str">
        <f>VLOOKUP(F51,'Описание значений'!$B$21:$C$39,2,FALSE)</f>
        <v>Дублирование citizen_id</v>
      </c>
      <c r="J51" s="27" t="s">
        <v>119</v>
      </c>
      <c r="K51">
        <v>1</v>
      </c>
      <c r="L51" t="str">
        <f t="shared" si="2"/>
        <v>Testing/Data_to_import/POST/d50.json</v>
      </c>
      <c r="M51" t="str">
        <f>"curl -X POST -d ""@"&amp;L51&amp;""" 0.0.0.0:8080/imports"</f>
        <v>curl -X POST -d "@Testing/Data_to_import/POST/d50.json" 0.0.0.0:8080/imports</v>
      </c>
      <c r="N51" s="27">
        <v>400</v>
      </c>
      <c r="O51" s="27">
        <f>LOGS!F51</f>
        <v>400</v>
      </c>
      <c r="P51" s="33" t="str">
        <f t="shared" si="1"/>
        <v>OK</v>
      </c>
      <c r="Q51" s="27" t="str">
        <f>LOGS!G51</f>
        <v xml:space="preserve"> Duplicate citizen_id in relatives list (citizen 2)</v>
      </c>
      <c r="R51">
        <f>LOGS!H51</f>
        <v>1.8060000000000001E-3</v>
      </c>
    </row>
    <row r="52" spans="1:18" x14ac:dyDescent="0.25">
      <c r="A52">
        <v>51</v>
      </c>
      <c r="B52">
        <v>51</v>
      </c>
      <c r="C52" t="str">
        <f>"R"&amp;VLOOKUP(D52,'Описание значений'!$B$4:$C$8,2,FALSE)&amp;"_G"&amp;F52&amp;"_N"&amp;TEXT(G52,"00")</f>
        <v>R01_G04t06_N01</v>
      </c>
      <c r="D52" s="8" t="s">
        <v>2</v>
      </c>
      <c r="E52" s="8" t="s">
        <v>20</v>
      </c>
      <c r="F52" s="8" t="s">
        <v>115</v>
      </c>
      <c r="G52" s="7">
        <v>1</v>
      </c>
      <c r="H52" t="str">
        <f>VLOOKUP(E52,'Описание значений'!$B$11:$C$18,2,FALSE)</f>
        <v>Ошибка в значениях во входных данных</v>
      </c>
      <c r="I52" t="str">
        <f>VLOOKUP(F52,'Описание значений'!$B$21:$C$39,2,FALSE)</f>
        <v>Несуществующий citizen_id в родственных связях</v>
      </c>
      <c r="J52" s="27" t="s">
        <v>117</v>
      </c>
      <c r="K52">
        <v>1</v>
      </c>
      <c r="L52" t="str">
        <f t="shared" si="2"/>
        <v>Testing/Data_to_import/POST/d51.json</v>
      </c>
      <c r="M52" t="str">
        <f t="shared" si="0"/>
        <v>curl -X POST -d "@Testing/Data_to_import/POST/d51.json" 0.0.0.0:8080/imports</v>
      </c>
      <c r="N52" s="27">
        <v>400</v>
      </c>
      <c r="O52" s="27">
        <f>LOGS!F52</f>
        <v>400</v>
      </c>
      <c r="P52" s="33" t="str">
        <f t="shared" si="1"/>
        <v>OK</v>
      </c>
      <c r="Q52" s="27" t="str">
        <f>LOGS!G52</f>
        <v xml:space="preserve"> Nonexistent citizen_id 777 in the list of relatives (citizen 1)</v>
      </c>
      <c r="R52">
        <f>LOGS!H52</f>
        <v>1.727E-3</v>
      </c>
    </row>
    <row r="53" spans="1:18" x14ac:dyDescent="0.25">
      <c r="A53">
        <v>52</v>
      </c>
      <c r="B53">
        <v>52</v>
      </c>
      <c r="C53" t="str">
        <f>"R"&amp;VLOOKUP(D53,'Описание значений'!$B$4:$C$8,2,FALSE)&amp;"_G"&amp;F53&amp;"_N"&amp;TEXT(G53,"00")</f>
        <v>R01_G04t07_N01</v>
      </c>
      <c r="D53" s="3" t="s">
        <v>2</v>
      </c>
      <c r="E53" s="4" t="s">
        <v>20</v>
      </c>
      <c r="F53" s="4" t="s">
        <v>116</v>
      </c>
      <c r="G53" s="4">
        <v>1</v>
      </c>
      <c r="H53" t="str">
        <f>VLOOKUP(E53,'Описание значений'!$B$11:$C$18,2,FALSE)</f>
        <v>Ошибка в значениях во входных данных</v>
      </c>
      <c r="I53" t="str">
        <f>VLOOKUP(F53,'Описание значений'!$B$21:$C$39,2,FALSE)</f>
        <v>Родственные связи не двусторонние</v>
      </c>
      <c r="J53" s="27" t="s">
        <v>155</v>
      </c>
      <c r="K53">
        <v>1</v>
      </c>
      <c r="L53" t="str">
        <f t="shared" si="2"/>
        <v>Testing/Data_to_import/POST/d52.json</v>
      </c>
      <c r="M53" t="str">
        <f t="shared" si="0"/>
        <v>curl -X POST -d "@Testing/Data_to_import/POST/d52.json" 0.0.0.0:8080/imports</v>
      </c>
      <c r="N53" s="27">
        <v>400</v>
      </c>
      <c r="O53" s="27">
        <f>LOGS!F53</f>
        <v>400</v>
      </c>
      <c r="P53" s="33" t="str">
        <f t="shared" si="1"/>
        <v>OK</v>
      </c>
      <c r="Q53" s="27" t="str">
        <f>LOGS!G53</f>
        <v xml:space="preserve"> Relatives inconsistency: citizen_id=1 is not in the list of citizen_id=3</v>
      </c>
      <c r="R53">
        <f>LOGS!H53</f>
        <v>1.774E-3</v>
      </c>
    </row>
    <row r="54" spans="1:18" x14ac:dyDescent="0.25">
      <c r="A54">
        <v>53</v>
      </c>
      <c r="B54">
        <v>53</v>
      </c>
      <c r="C54" t="str">
        <f>"R"&amp;VLOOKUP(D54,'Описание значений'!$B$4:$C$8,2,FALSE)&amp;"_G"&amp;F54&amp;"_N"&amp;TEXT(G54,"00")</f>
        <v>R01_G04t07_N02</v>
      </c>
      <c r="D54" s="3" t="s">
        <v>2</v>
      </c>
      <c r="E54" s="4" t="s">
        <v>20</v>
      </c>
      <c r="F54" s="4" t="s">
        <v>116</v>
      </c>
      <c r="G54" s="4">
        <v>2</v>
      </c>
      <c r="H54" t="str">
        <f>VLOOKUP(E54,'Описание значений'!$B$11:$C$18,2,FALSE)</f>
        <v>Ошибка в значениях во входных данных</v>
      </c>
      <c r="I54" t="str">
        <f>VLOOKUP(F54,'Описание значений'!$B$21:$C$39,2,FALSE)</f>
        <v>Родственные связи не двусторонние</v>
      </c>
      <c r="J54" s="27" t="s">
        <v>156</v>
      </c>
      <c r="K54">
        <v>1</v>
      </c>
      <c r="L54" t="str">
        <f t="shared" si="2"/>
        <v>Testing/Data_to_import/POST/d53.json</v>
      </c>
      <c r="M54" t="str">
        <f t="shared" si="0"/>
        <v>curl -X POST -d "@Testing/Data_to_import/POST/d53.json" 0.0.0.0:8080/imports</v>
      </c>
      <c r="N54" s="27">
        <v>400</v>
      </c>
      <c r="O54" s="27">
        <f>LOGS!F54</f>
        <v>400</v>
      </c>
      <c r="P54" s="33" t="str">
        <f t="shared" si="1"/>
        <v>OK</v>
      </c>
      <c r="Q54" s="27" t="str">
        <f>LOGS!G54</f>
        <v xml:space="preserve"> Relatives inconsistency: citizen_id=1 is not in the list of citizen_id=3</v>
      </c>
      <c r="R54">
        <f>LOGS!H54</f>
        <v>1.9289999999999999E-3</v>
      </c>
    </row>
    <row r="55" spans="1:18" x14ac:dyDescent="0.25">
      <c r="A55">
        <v>54</v>
      </c>
      <c r="B55">
        <v>54</v>
      </c>
      <c r="C55" t="str">
        <f>"R"&amp;VLOOKUP(D55,'Описание значений'!$B$4:$C$8,2,FALSE)&amp;"_G"&amp;F55&amp;"_N"&amp;TEXT(G55,"00")</f>
        <v>R01_G04t07_N03</v>
      </c>
      <c r="D55" s="3" t="s">
        <v>2</v>
      </c>
      <c r="E55" s="4" t="s">
        <v>20</v>
      </c>
      <c r="F55" s="4" t="s">
        <v>116</v>
      </c>
      <c r="G55" s="4">
        <v>3</v>
      </c>
      <c r="H55" t="str">
        <f>VLOOKUP(E55,'Описание значений'!$B$11:$C$18,2,FALSE)</f>
        <v>Ошибка в значениях во входных данных</v>
      </c>
      <c r="I55" t="str">
        <f>VLOOKUP(F55,'Описание значений'!$B$21:$C$39,2,FALSE)</f>
        <v>Родственные связи не двусторонние</v>
      </c>
      <c r="J55" s="27" t="s">
        <v>157</v>
      </c>
      <c r="K55">
        <v>1</v>
      </c>
      <c r="L55" t="str">
        <f t="shared" si="2"/>
        <v>Testing/Data_to_import/POST/d54.json</v>
      </c>
      <c r="M55" t="str">
        <f t="shared" si="0"/>
        <v>curl -X POST -d "@Testing/Data_to_import/POST/d54.json" 0.0.0.0:8080/imports</v>
      </c>
      <c r="N55" s="27">
        <v>400</v>
      </c>
      <c r="O55" s="27">
        <f>LOGS!F55</f>
        <v>400</v>
      </c>
      <c r="P55" s="33" t="str">
        <f t="shared" si="1"/>
        <v>OK</v>
      </c>
      <c r="Q55" s="27" t="str">
        <f>LOGS!G55</f>
        <v xml:space="preserve"> Relatives inconsistency: citizen_id=7 is not in the list of citizen_id=5</v>
      </c>
      <c r="R55">
        <f>LOGS!H55</f>
        <v>1.5089999999999999E-3</v>
      </c>
    </row>
    <row r="56" spans="1:18" x14ac:dyDescent="0.25">
      <c r="A56">
        <v>55</v>
      </c>
      <c r="B56">
        <v>55</v>
      </c>
      <c r="C56" t="str">
        <f>"R"&amp;VLOOKUP(D56,'Описание значений'!$B$4:$C$8,2,FALSE)&amp;"_G"&amp;F56&amp;"_N"&amp;TEXT(G56,"00")</f>
        <v>R01_G05t01_N01</v>
      </c>
      <c r="D56" s="5" t="s">
        <v>2</v>
      </c>
      <c r="E56" s="6" t="s">
        <v>21</v>
      </c>
      <c r="F56" s="6" t="s">
        <v>47</v>
      </c>
      <c r="G56" s="5">
        <v>1</v>
      </c>
      <c r="H56" t="str">
        <f>VLOOKUP(E56,'Описание значений'!$B$11:$C$18,2,FALSE)</f>
        <v>Ошибка в форматах во входных данных</v>
      </c>
      <c r="I56" t="str">
        <f>VLOOKUP(F56,'Описание значений'!$B$21:$C$39,2,FALSE)</f>
        <v>Формат одного или нескольких полей неверный (int,str,list)</v>
      </c>
      <c r="J56" s="27" t="s">
        <v>88</v>
      </c>
      <c r="K56">
        <v>1</v>
      </c>
      <c r="L56" t="str">
        <f t="shared" si="2"/>
        <v>Testing/Data_to_import/POST/d55.json</v>
      </c>
      <c r="M56" t="str">
        <f t="shared" si="0"/>
        <v>curl -X POST -d "@Testing/Data_to_import/POST/d55.json" 0.0.0.0:8080/imports</v>
      </c>
      <c r="N56" s="27">
        <v>400</v>
      </c>
      <c r="O56" s="27">
        <f>LOGS!F56</f>
        <v>400</v>
      </c>
      <c r="P56" s="33" t="str">
        <f t="shared" si="1"/>
        <v>OK</v>
      </c>
      <c r="Q56" s="27" t="str">
        <f>LOGS!G56</f>
        <v xml:space="preserve"> One or more fields in import data have incorrect type - key citizen_id (citizen 1)</v>
      </c>
      <c r="R56">
        <f>LOGS!H56</f>
        <v>1.139E-3</v>
      </c>
    </row>
    <row r="57" spans="1:18" x14ac:dyDescent="0.25">
      <c r="A57">
        <v>56</v>
      </c>
      <c r="B57">
        <v>56</v>
      </c>
      <c r="C57" t="str">
        <f>"R"&amp;VLOOKUP(D57,'Описание значений'!$B$4:$C$8,2,FALSE)&amp;"_G"&amp;F57&amp;"_N"&amp;TEXT(G57,"00")</f>
        <v>R01_G05t01_N02</v>
      </c>
      <c r="D57" s="5" t="s">
        <v>2</v>
      </c>
      <c r="E57" s="6" t="s">
        <v>21</v>
      </c>
      <c r="F57" s="6" t="s">
        <v>47</v>
      </c>
      <c r="G57" s="5">
        <v>2</v>
      </c>
      <c r="H57" t="str">
        <f>VLOOKUP(E57,'Описание значений'!$B$11:$C$18,2,FALSE)</f>
        <v>Ошибка в форматах во входных данных</v>
      </c>
      <c r="I57" t="str">
        <f>VLOOKUP(F57,'Описание значений'!$B$21:$C$39,2,FALSE)</f>
        <v>Формат одного или нескольких полей неверный (int,str,list)</v>
      </c>
      <c r="J57" s="27" t="s">
        <v>158</v>
      </c>
      <c r="K57">
        <v>1</v>
      </c>
      <c r="L57" t="str">
        <f t="shared" si="2"/>
        <v>Testing/Data_to_import/POST/d56.json</v>
      </c>
      <c r="M57" t="str">
        <f t="shared" si="0"/>
        <v>curl -X POST -d "@Testing/Data_to_import/POST/d56.json" 0.0.0.0:8080/imports</v>
      </c>
      <c r="N57" s="27">
        <v>400</v>
      </c>
      <c r="O57" s="27">
        <f>LOGS!F57</f>
        <v>400</v>
      </c>
      <c r="P57" s="33" t="str">
        <f t="shared" si="1"/>
        <v>OK</v>
      </c>
      <c r="Q57" s="27" t="str">
        <f>LOGS!G57</f>
        <v xml:space="preserve"> One or more fields in import data have incorrect type - key relatives (citizen 1)</v>
      </c>
      <c r="R57">
        <f>LOGS!H57</f>
        <v>9.9599999999999992E-4</v>
      </c>
    </row>
    <row r="58" spans="1:18" x14ac:dyDescent="0.25">
      <c r="A58">
        <v>57</v>
      </c>
      <c r="B58">
        <v>57</v>
      </c>
      <c r="C58" t="str">
        <f>"R"&amp;VLOOKUP(D58,'Описание значений'!$B$4:$C$8,2,FALSE)&amp;"_G"&amp;F58&amp;"_N"&amp;TEXT(G58,"00")</f>
        <v>R01_G05t01_N03</v>
      </c>
      <c r="D58" s="5" t="s">
        <v>2</v>
      </c>
      <c r="E58" s="6" t="s">
        <v>21</v>
      </c>
      <c r="F58" s="6" t="s">
        <v>47</v>
      </c>
      <c r="G58" s="5">
        <v>3</v>
      </c>
      <c r="H58" t="str">
        <f>VLOOKUP(E58,'Описание значений'!$B$11:$C$18,2,FALSE)</f>
        <v>Ошибка в форматах во входных данных</v>
      </c>
      <c r="I58" t="str">
        <f>VLOOKUP(F58,'Описание значений'!$B$21:$C$39,2,FALSE)</f>
        <v>Формат одного или нескольких полей неверный (int,str,list)</v>
      </c>
      <c r="J58" s="27" t="s">
        <v>159</v>
      </c>
      <c r="K58">
        <v>1</v>
      </c>
      <c r="L58" t="str">
        <f t="shared" si="2"/>
        <v>Testing/Data_to_import/POST/d57.json</v>
      </c>
      <c r="M58" t="str">
        <f t="shared" si="0"/>
        <v>curl -X POST -d "@Testing/Data_to_import/POST/d57.json" 0.0.0.0:8080/imports</v>
      </c>
      <c r="N58" s="27">
        <v>400</v>
      </c>
      <c r="O58" s="27">
        <f>LOGS!F58</f>
        <v>400</v>
      </c>
      <c r="P58" s="33" t="str">
        <f t="shared" si="1"/>
        <v>OK</v>
      </c>
      <c r="Q58" s="27" t="str">
        <f>LOGS!G58</f>
        <v xml:space="preserve"> One or more fields in import data have incorrect type - key relatives (citizen 2)</v>
      </c>
      <c r="R58">
        <f>LOGS!H58</f>
        <v>1.2780000000000001E-3</v>
      </c>
    </row>
    <row r="59" spans="1:18" x14ac:dyDescent="0.25">
      <c r="A59">
        <v>58</v>
      </c>
      <c r="B59">
        <v>58</v>
      </c>
      <c r="C59" t="str">
        <f>"R"&amp;VLOOKUP(D59,'Описание значений'!$B$4:$C$8,2,FALSE)&amp;"_G"&amp;F59&amp;"_N"&amp;TEXT(G59,"00")</f>
        <v>R01_G05t01_N04</v>
      </c>
      <c r="D59" s="5" t="s">
        <v>2</v>
      </c>
      <c r="E59" s="6" t="s">
        <v>21</v>
      </c>
      <c r="F59" s="6" t="s">
        <v>47</v>
      </c>
      <c r="G59" s="5">
        <v>4</v>
      </c>
      <c r="H59" t="str">
        <f>VLOOKUP(E59,'Описание значений'!$B$11:$C$18,2,FALSE)</f>
        <v>Ошибка в форматах во входных данных</v>
      </c>
      <c r="I59" t="str">
        <f>VLOOKUP(F59,'Описание значений'!$B$21:$C$39,2,FALSE)</f>
        <v>Формат одного или нескольких полей неверный (int,str,list)</v>
      </c>
      <c r="J59" s="27" t="s">
        <v>89</v>
      </c>
      <c r="K59">
        <v>1</v>
      </c>
      <c r="L59" t="str">
        <f t="shared" si="2"/>
        <v>Testing/Data_to_import/POST/d58.json</v>
      </c>
      <c r="M59" t="str">
        <f t="shared" si="0"/>
        <v>curl -X POST -d "@Testing/Data_to_import/POST/d58.json" 0.0.0.0:8080/imports</v>
      </c>
      <c r="N59" s="27">
        <v>400</v>
      </c>
      <c r="O59" s="27">
        <f>LOGS!F59</f>
        <v>400</v>
      </c>
      <c r="P59" s="33" t="str">
        <f t="shared" si="1"/>
        <v>OK</v>
      </c>
      <c r="Q59" s="27" t="str">
        <f>LOGS!G59</f>
        <v xml:space="preserve"> One or more fields in import data have incorrect type - key building (citizen 9)</v>
      </c>
      <c r="R59">
        <f>LOGS!H59</f>
        <v>1.207E-3</v>
      </c>
    </row>
    <row r="60" spans="1:18" x14ac:dyDescent="0.25">
      <c r="A60">
        <v>59</v>
      </c>
      <c r="B60">
        <v>59</v>
      </c>
      <c r="C60" t="str">
        <f>"R"&amp;VLOOKUP(D60,'Описание значений'!$B$4:$C$8,2,FALSE)&amp;"_G"&amp;F60&amp;"_N"&amp;TEXT(G60,"00")</f>
        <v>R01_G05t02_N01</v>
      </c>
      <c r="D60" s="9" t="s">
        <v>2</v>
      </c>
      <c r="E60" s="10" t="s">
        <v>21</v>
      </c>
      <c r="F60" s="9" t="s">
        <v>48</v>
      </c>
      <c r="G60" s="9">
        <v>1</v>
      </c>
      <c r="H60" t="str">
        <f>VLOOKUP(E60,'Описание значений'!$B$11:$C$18,2,FALSE)</f>
        <v>Ошибка в форматах во входных данных</v>
      </c>
      <c r="I60" t="str">
        <f>VLOOKUP(F60,'Описание значений'!$B$21:$C$39,2,FALSE)</f>
        <v>Формат даты неверный (не ДД.ММ.ГГГГ)</v>
      </c>
      <c r="J60" s="27" t="s">
        <v>90</v>
      </c>
      <c r="K60">
        <v>1</v>
      </c>
      <c r="L60" t="str">
        <f t="shared" si="2"/>
        <v>Testing/Data_to_import/POST/d59.json</v>
      </c>
      <c r="M60" t="str">
        <f t="shared" si="0"/>
        <v>curl -X POST -d "@Testing/Data_to_import/POST/d59.json" 0.0.0.0:8080/imports</v>
      </c>
      <c r="N60" s="27">
        <v>400</v>
      </c>
      <c r="O60" s="27">
        <f>LOGS!F60</f>
        <v>400</v>
      </c>
      <c r="P60" s="33" t="str">
        <f t="shared" si="1"/>
        <v>OK</v>
      </c>
      <c r="Q60" s="27" t="str">
        <f>LOGS!G60</f>
        <v xml:space="preserve"> birth_date is invaild or has incorrect format, must be dd.mm.yyyy (citizen 0)</v>
      </c>
      <c r="R60">
        <f>LOGS!H60</f>
        <v>1.124E-3</v>
      </c>
    </row>
    <row r="61" spans="1:18" x14ac:dyDescent="0.25">
      <c r="A61">
        <v>60</v>
      </c>
      <c r="B61">
        <v>60</v>
      </c>
      <c r="C61" t="str">
        <f>"R"&amp;VLOOKUP(D61,'Описание значений'!$B$4:$C$8,2,FALSE)&amp;"_G"&amp;F61&amp;"_N"&amp;TEXT(G61,"00")</f>
        <v>R01_G05t02_N02</v>
      </c>
      <c r="D61" s="9" t="s">
        <v>2</v>
      </c>
      <c r="E61" s="10" t="s">
        <v>21</v>
      </c>
      <c r="F61" s="9" t="s">
        <v>48</v>
      </c>
      <c r="G61" s="9">
        <v>2</v>
      </c>
      <c r="H61" t="str">
        <f>VLOOKUP(E61,'Описание значений'!$B$11:$C$18,2,FALSE)</f>
        <v>Ошибка в форматах во входных данных</v>
      </c>
      <c r="I61" t="str">
        <f>VLOOKUP(F61,'Описание значений'!$B$21:$C$39,2,FALSE)</f>
        <v>Формат даты неверный (не ДД.ММ.ГГГГ)</v>
      </c>
      <c r="J61" s="27" t="s">
        <v>91</v>
      </c>
      <c r="K61">
        <v>1</v>
      </c>
      <c r="L61" t="str">
        <f t="shared" si="2"/>
        <v>Testing/Data_to_import/POST/d60.json</v>
      </c>
      <c r="M61" t="str">
        <f t="shared" si="0"/>
        <v>curl -X POST -d "@Testing/Data_to_import/POST/d60.json" 0.0.0.0:8080/imports</v>
      </c>
      <c r="N61" s="27">
        <v>400</v>
      </c>
      <c r="O61" s="27">
        <f>LOGS!F61</f>
        <v>400</v>
      </c>
      <c r="P61" s="33" t="str">
        <f t="shared" si="1"/>
        <v>OK</v>
      </c>
      <c r="Q61" s="27" t="str">
        <f>LOGS!G61</f>
        <v xml:space="preserve"> birth_date is invaild or has incorrect format, must be dd.mm.yyyy (citizen 7)</v>
      </c>
      <c r="R61">
        <f>LOGS!H61</f>
        <v>7.8410000000000007E-3</v>
      </c>
    </row>
    <row r="62" spans="1:18" x14ac:dyDescent="0.25">
      <c r="A62">
        <v>61</v>
      </c>
      <c r="B62">
        <v>61</v>
      </c>
      <c r="C62" t="str">
        <f>"R"&amp;VLOOKUP(D62,'Описание значений'!$B$4:$C$8,2,FALSE)&amp;"_G"&amp;F62&amp;"_N"&amp;TEXT(G62,"00")</f>
        <v>R01_G05t02_N03</v>
      </c>
      <c r="D62" s="9" t="s">
        <v>2</v>
      </c>
      <c r="E62" s="10" t="s">
        <v>21</v>
      </c>
      <c r="F62" s="9" t="s">
        <v>48</v>
      </c>
      <c r="G62" s="9">
        <v>3</v>
      </c>
      <c r="H62" t="str">
        <f>VLOOKUP(E62,'Описание значений'!$B$11:$C$18,2,FALSE)</f>
        <v>Ошибка в форматах во входных данных</v>
      </c>
      <c r="I62" t="str">
        <f>VLOOKUP(F62,'Описание значений'!$B$21:$C$39,2,FALSE)</f>
        <v>Формат даты неверный (не ДД.ММ.ГГГГ)</v>
      </c>
      <c r="J62" s="27" t="s">
        <v>92</v>
      </c>
      <c r="K62">
        <v>1</v>
      </c>
      <c r="L62" t="str">
        <f t="shared" si="2"/>
        <v>Testing/Data_to_import/POST/d61.json</v>
      </c>
      <c r="M62" t="str">
        <f t="shared" si="0"/>
        <v>curl -X POST -d "@Testing/Data_to_import/POST/d61.json" 0.0.0.0:8080/imports</v>
      </c>
      <c r="N62" s="27">
        <v>400</v>
      </c>
      <c r="O62" s="27">
        <f>LOGS!F62</f>
        <v>400</v>
      </c>
      <c r="P62" s="33" t="str">
        <f t="shared" si="1"/>
        <v>OK</v>
      </c>
      <c r="Q62" s="27" t="str">
        <f>LOGS!G62</f>
        <v xml:space="preserve"> birth_date is invaild or has incorrect format, must be dd.mm.yyyy (citizen 1)</v>
      </c>
      <c r="R62">
        <f>LOGS!H62</f>
        <v>5.0470000000000003E-3</v>
      </c>
    </row>
    <row r="63" spans="1:18" x14ac:dyDescent="0.25">
      <c r="A63" s="13">
        <v>62</v>
      </c>
      <c r="B63" s="13">
        <v>62</v>
      </c>
      <c r="C63" s="13" t="str">
        <f>"R"&amp;VLOOKUP(D63,'Описание значений'!$B$4:$C$8,2,FALSE)&amp;"_G"&amp;F63&amp;"_N"&amp;TEXT(G63,"00")</f>
        <v>R01_G05t02_N04</v>
      </c>
      <c r="D63" s="18" t="s">
        <v>2</v>
      </c>
      <c r="E63" s="19" t="s">
        <v>21</v>
      </c>
      <c r="F63" s="18" t="s">
        <v>48</v>
      </c>
      <c r="G63" s="18">
        <v>4</v>
      </c>
      <c r="H63" s="13" t="str">
        <f>VLOOKUP(E63,'Описание значений'!$B$11:$C$18,2,FALSE)</f>
        <v>Ошибка в форматах во входных данных</v>
      </c>
      <c r="I63" s="13" t="str">
        <f>VLOOKUP(F63,'Описание значений'!$B$21:$C$39,2,FALSE)</f>
        <v>Формат даты неверный (не ДД.ММ.ГГГГ)</v>
      </c>
      <c r="J63" s="28" t="s">
        <v>93</v>
      </c>
      <c r="K63" s="13">
        <v>1</v>
      </c>
      <c r="L63" s="13" t="str">
        <f t="shared" si="2"/>
        <v>Testing/Data_to_import/POST/d62.json</v>
      </c>
      <c r="M63" s="13" t="str">
        <f t="shared" si="0"/>
        <v>curl -X POST -d "@Testing/Data_to_import/POST/d62.json" 0.0.0.0:8080/imports</v>
      </c>
      <c r="N63" s="28">
        <v>400</v>
      </c>
      <c r="O63" s="28">
        <f>LOGS!F63</f>
        <v>400</v>
      </c>
      <c r="P63" s="34" t="str">
        <f t="shared" si="1"/>
        <v>OK</v>
      </c>
      <c r="Q63" s="28" t="str">
        <f>LOGS!G63</f>
        <v xml:space="preserve"> birth_date is invaild or has incorrect format, must be dd.mm.yyyy (citizen 2)</v>
      </c>
      <c r="R63">
        <f>LOGS!H63</f>
        <v>1.5969999999999999E-3</v>
      </c>
    </row>
    <row r="64" spans="1:18" x14ac:dyDescent="0.25">
      <c r="A64" s="11">
        <v>63</v>
      </c>
      <c r="B64" s="11">
        <v>63</v>
      </c>
      <c r="C64" s="11" t="str">
        <f>"R"&amp;VLOOKUP(D64,'Описание значений'!$B$4:$C$8,2,FALSE)&amp;"_G"&amp;F64&amp;"_N"&amp;TEXT(G64,"00")</f>
        <v>R01_G05t02_N05</v>
      </c>
      <c r="D64" s="20" t="s">
        <v>2</v>
      </c>
      <c r="E64" s="21" t="s">
        <v>21</v>
      </c>
      <c r="F64" s="20" t="s">
        <v>48</v>
      </c>
      <c r="G64" s="20">
        <v>5</v>
      </c>
      <c r="H64" s="11" t="str">
        <f>VLOOKUP(E64,'Описание значений'!$B$11:$C$18,2,FALSE)</f>
        <v>Ошибка в форматах во входных данных</v>
      </c>
      <c r="I64" s="11" t="str">
        <f>VLOOKUP(F64,'Описание значений'!$B$21:$C$39,2,FALSE)</f>
        <v>Формат даты неверный (не ДД.ММ.ГГГГ)</v>
      </c>
      <c r="J64" s="29" t="s">
        <v>94</v>
      </c>
      <c r="K64" s="11">
        <v>1</v>
      </c>
      <c r="L64" s="11" t="str">
        <f t="shared" si="2"/>
        <v>Testing/Data_to_import/POST/d63.json</v>
      </c>
      <c r="M64" s="11" t="str">
        <f t="shared" si="0"/>
        <v>curl -X POST -d "@Testing/Data_to_import/POST/d63.json" 0.0.0.0:8080/imports</v>
      </c>
      <c r="N64" s="29">
        <v>400</v>
      </c>
      <c r="O64" s="29">
        <f>LOGS!F64</f>
        <v>400</v>
      </c>
      <c r="P64" s="35" t="str">
        <f t="shared" si="1"/>
        <v>OK</v>
      </c>
      <c r="Q64" s="29" t="str">
        <f>LOGS!G64</f>
        <v xml:space="preserve"> birth_date is invaild or has incorrect format, must be dd.mm.yyyy (citizen 4)</v>
      </c>
      <c r="R64">
        <f>LOGS!H64</f>
        <v>1.2329999999999999E-3</v>
      </c>
    </row>
    <row r="65" spans="1:18" x14ac:dyDescent="0.25">
      <c r="A65">
        <v>64</v>
      </c>
      <c r="B65">
        <v>1</v>
      </c>
      <c r="C65" t="str">
        <f>"R"&amp;VLOOKUP(D65,'Описание значений'!$B$4:$C$8,2,FALSE)&amp;"_G"&amp;F65&amp;"_N"&amp;TEXT(G65,"00")</f>
        <v>R02_G00t01_N01</v>
      </c>
      <c r="D65" s="5" t="s">
        <v>3</v>
      </c>
      <c r="E65" s="6" t="s">
        <v>23</v>
      </c>
      <c r="F65" s="6" t="s">
        <v>41</v>
      </c>
      <c r="G65" s="5">
        <v>1</v>
      </c>
      <c r="H65" t="str">
        <f>VLOOKUP(E65,'Описание значений'!$B$11:$C$18,2,FALSE)</f>
        <v>Верный запрос</v>
      </c>
      <c r="I65" t="str">
        <f>VLOOKUP(F65,'Описание значений'!$B$21:$C$39,2,FALSE)</f>
        <v>Верный запрос</v>
      </c>
      <c r="J65" s="14" t="s">
        <v>124</v>
      </c>
      <c r="K65">
        <v>1</v>
      </c>
      <c r="L65" t="str">
        <f t="shared" ref="L65:L89" si="3">"Testing/Data_to_import/"&amp;LEFT(D65,SEARCH(" ",D65)-1)&amp;"/d"&amp;B65&amp;".json"</f>
        <v>Testing/Data_to_import/PATCH/d1.json</v>
      </c>
      <c r="M65" s="13" t="str">
        <f>"curl -X PATCH -d ""@"&amp;L65&amp;""" 0.0.0.0:8080/imports/2/citizens/1"</f>
        <v>curl -X PATCH -d "@Testing/Data_to_import/PATCH/d1.json" 0.0.0.0:8080/imports/2/citizens/1</v>
      </c>
      <c r="N65" s="14">
        <v>200</v>
      </c>
      <c r="O65" s="14">
        <f>LOGS!F65</f>
        <v>200</v>
      </c>
      <c r="P65" s="33" t="str">
        <f t="shared" si="1"/>
        <v>OK</v>
      </c>
      <c r="Q65" s="14" t="str">
        <f>LOGS!G65</f>
        <v xml:space="preserve"> {'citizen_id': 1, 'town': 'Мытищи', 'street': 'Макеевская улица', 'building': '70п69', 'apartment': 22, 'name': 'Измененное имя', 'birth_date': '16.11.1986', 'gender': 'male', 'relatives': [9, 2]}</v>
      </c>
      <c r="R65">
        <f>LOGS!H65</f>
        <v>1.8353999999999999E-2</v>
      </c>
    </row>
    <row r="66" spans="1:18" x14ac:dyDescent="0.25">
      <c r="A66">
        <v>65</v>
      </c>
      <c r="B66">
        <v>2</v>
      </c>
      <c r="C66" t="str">
        <f>"R"&amp;VLOOKUP(D66,'Описание значений'!$B$4:$C$8,2,FALSE)&amp;"_G"&amp;F66&amp;"_N"&amp;TEXT(G66,"00")</f>
        <v>R02_G00t01_N02</v>
      </c>
      <c r="D66" s="5" t="s">
        <v>3</v>
      </c>
      <c r="E66" s="6" t="s">
        <v>23</v>
      </c>
      <c r="F66" s="6" t="s">
        <v>41</v>
      </c>
      <c r="G66" s="5">
        <v>2</v>
      </c>
      <c r="H66" t="str">
        <f>VLOOKUP(E66,'Описание значений'!$B$11:$C$18,2,FALSE)</f>
        <v>Верный запрос</v>
      </c>
      <c r="I66" t="str">
        <f>VLOOKUP(F66,'Описание значений'!$B$21:$C$39,2,FALSE)</f>
        <v>Верный запрос</v>
      </c>
      <c r="J66" s="14" t="s">
        <v>161</v>
      </c>
      <c r="K66">
        <v>1</v>
      </c>
      <c r="L66" t="str">
        <f t="shared" si="3"/>
        <v>Testing/Data_to_import/PATCH/d2.json</v>
      </c>
      <c r="M66" s="13" t="str">
        <f>"curl -X PATCH -d ""@"&amp;L66&amp;""" 0.0.0.0:8080/imports/2/citizens/1"</f>
        <v>curl -X PATCH -d "@Testing/Data_to_import/PATCH/d2.json" 0.0.0.0:8080/imports/2/citizens/1</v>
      </c>
      <c r="N66" s="14">
        <v>200</v>
      </c>
      <c r="O66" s="14">
        <f>LOGS!F66</f>
        <v>200</v>
      </c>
      <c r="P66" s="33" t="str">
        <f t="shared" si="1"/>
        <v>OK</v>
      </c>
      <c r="Q66" s="14" t="str">
        <f>LOGS!G66</f>
        <v xml:space="preserve"> {'citizen_id': 1, 'town': 'Мытищи', 'street': 'Макеевская улица', 'building': '70п69', 'apartment': 22, 'name': 'Измененное имя', 'birth_date': '16.11.1986', 'gender': 'male', 'relatives': [6, 7]}</v>
      </c>
      <c r="R66">
        <f>LOGS!H66</f>
        <v>8.2518999999999995E-2</v>
      </c>
    </row>
    <row r="67" spans="1:18" x14ac:dyDescent="0.25">
      <c r="A67">
        <v>66</v>
      </c>
      <c r="B67">
        <v>3</v>
      </c>
      <c r="C67" t="str">
        <f>"R"&amp;VLOOKUP(D67,'Описание значений'!$B$4:$C$8,2,FALSE)&amp;"_G"&amp;F67&amp;"_N"&amp;TEXT(G67,"00")</f>
        <v>R02_G00t01_N03</v>
      </c>
      <c r="D67" s="5" t="s">
        <v>3</v>
      </c>
      <c r="E67" s="6" t="s">
        <v>23</v>
      </c>
      <c r="F67" s="6" t="s">
        <v>41</v>
      </c>
      <c r="G67" s="5">
        <v>3</v>
      </c>
      <c r="H67" t="str">
        <f>VLOOKUP(E67,'Описание значений'!$B$11:$C$18,2,FALSE)</f>
        <v>Верный запрос</v>
      </c>
      <c r="I67" t="str">
        <f>VLOOKUP(F67,'Описание значений'!$B$21:$C$39,2,FALSE)</f>
        <v>Верный запрос</v>
      </c>
      <c r="J67" s="14" t="s">
        <v>125</v>
      </c>
      <c r="K67">
        <v>1</v>
      </c>
      <c r="L67" t="str">
        <f t="shared" si="3"/>
        <v>Testing/Data_to_import/PATCH/d3.json</v>
      </c>
      <c r="M67" s="13" t="str">
        <f>"curl -X PATCH -d ""@"&amp;L67&amp;""" 0.0.0.0:8080/imports/2/citizens/2"</f>
        <v>curl -X PATCH -d "@Testing/Data_to_import/PATCH/d3.json" 0.0.0.0:8080/imports/2/citizens/2</v>
      </c>
      <c r="N67" s="14">
        <v>200</v>
      </c>
      <c r="O67" s="14">
        <f>LOGS!F67</f>
        <v>200</v>
      </c>
      <c r="P67" s="33" t="str">
        <f t="shared" ref="P67:P95" si="4">IF(O67=N67,"OK","FAIL")</f>
        <v>OK</v>
      </c>
      <c r="Q67" s="14" t="str">
        <f>LOGS!G67</f>
        <v xml:space="preserve"> {'citizen_id': 1, 'town': 'Измененный город', 'street': 'Макеевская улица', 'building': '70п69', 'apartment': 22, 'name': 'Измененное имя', 'birth_date': '16.11.1986', 'gender': 'male', 'relatives': []}</v>
      </c>
      <c r="R67">
        <f>LOGS!H67</f>
        <v>3.1275999999999998E-2</v>
      </c>
    </row>
    <row r="68" spans="1:18" x14ac:dyDescent="0.25">
      <c r="A68">
        <v>67</v>
      </c>
      <c r="B68">
        <v>4</v>
      </c>
      <c r="C68" t="str">
        <f>"R"&amp;VLOOKUP(D68,'Описание значений'!$B$4:$C$8,2,FALSE)&amp;"_G"&amp;F68&amp;"_N"&amp;TEXT(G68,"00")</f>
        <v>R02_G01t01_N01</v>
      </c>
      <c r="D68" s="3" t="s">
        <v>3</v>
      </c>
      <c r="E68" s="4" t="s">
        <v>18</v>
      </c>
      <c r="F68" s="4" t="s">
        <v>40</v>
      </c>
      <c r="G68" s="4">
        <v>1</v>
      </c>
      <c r="H68" t="str">
        <f>VLOOKUP(E68,'Описание значений'!$B$11:$C$18,2,FALSE)</f>
        <v>Общая ошибка в формате входных данных</v>
      </c>
      <c r="I68" t="str">
        <f>VLOOKUP(F68,'Описание значений'!$B$21:$C$39,2,FALSE)</f>
        <v>Формат входных данных не JSON</v>
      </c>
      <c r="J68" s="27" t="s">
        <v>127</v>
      </c>
      <c r="K68">
        <v>1</v>
      </c>
      <c r="L68" t="str">
        <f t="shared" si="3"/>
        <v>Testing/Data_to_import/PATCH/d4.json</v>
      </c>
      <c r="M68" s="13" t="str">
        <f>"curl -X PATCH -d ""@"&amp;L68&amp;""" 0.0.0.0:8080/imports/2/citizens/1"</f>
        <v>curl -X PATCH -d "@Testing/Data_to_import/PATCH/d4.json" 0.0.0.0:8080/imports/2/citizens/1</v>
      </c>
      <c r="N68" s="27">
        <v>400</v>
      </c>
      <c r="O68" s="27">
        <f>LOGS!F68</f>
        <v>400</v>
      </c>
      <c r="P68" s="33" t="str">
        <f t="shared" si="4"/>
        <v>OK</v>
      </c>
      <c r="Q68" s="27" t="str">
        <f>LOGS!G68</f>
        <v xml:space="preserve"> Import data is not in JSON format</v>
      </c>
      <c r="R68">
        <f>LOGS!H68</f>
        <v>9.0499999999999999E-4</v>
      </c>
    </row>
    <row r="69" spans="1:18" x14ac:dyDescent="0.25">
      <c r="A69">
        <v>68</v>
      </c>
      <c r="B69">
        <v>5</v>
      </c>
      <c r="C69" t="str">
        <f>"R"&amp;VLOOKUP(D69,'Описание значений'!$B$4:$C$8,2,FALSE)&amp;"_G"&amp;F69&amp;"_N"&amp;TEXT(G69,"00")</f>
        <v>R02_G01t01_N02</v>
      </c>
      <c r="D69" s="3" t="s">
        <v>3</v>
      </c>
      <c r="E69" s="4" t="s">
        <v>18</v>
      </c>
      <c r="F69" s="4" t="s">
        <v>40</v>
      </c>
      <c r="G69" s="4">
        <v>2</v>
      </c>
      <c r="H69" t="str">
        <f>VLOOKUP(E69,'Описание значений'!$B$11:$C$18,2,FALSE)</f>
        <v>Общая ошибка в формате входных данных</v>
      </c>
      <c r="I69" t="str">
        <f>VLOOKUP(F69,'Описание значений'!$B$21:$C$39,2,FALSE)</f>
        <v>Формат входных данных не JSON</v>
      </c>
      <c r="J69" s="27" t="s">
        <v>128</v>
      </c>
      <c r="K69">
        <v>1</v>
      </c>
      <c r="L69" t="str">
        <f t="shared" si="3"/>
        <v>Testing/Data_to_import/PATCH/d5.json</v>
      </c>
      <c r="M69" t="str">
        <f t="shared" ref="M69:M84" si="5">"curl -X PATCH -d ""@"&amp;L69&amp;""" 0.0.0.0:8080/imports/2/citizens/1"</f>
        <v>curl -X PATCH -d "@Testing/Data_to_import/PATCH/d5.json" 0.0.0.0:8080/imports/2/citizens/1</v>
      </c>
      <c r="N69" s="27">
        <v>400</v>
      </c>
      <c r="O69" s="27">
        <f>LOGS!F69</f>
        <v>400</v>
      </c>
      <c r="P69" s="33" t="str">
        <f t="shared" si="4"/>
        <v>OK</v>
      </c>
      <c r="Q69" s="27" t="str">
        <f>LOGS!G69</f>
        <v xml:space="preserve"> Import data is not in JSON format</v>
      </c>
      <c r="R69">
        <f>LOGS!H69</f>
        <v>8.7100000000000003E-4</v>
      </c>
    </row>
    <row r="70" spans="1:18" x14ac:dyDescent="0.25">
      <c r="A70">
        <v>69</v>
      </c>
      <c r="B70">
        <v>6</v>
      </c>
      <c r="C70" t="str">
        <f>"R"&amp;VLOOKUP(D70,'Описание значений'!$B$4:$C$8,2,FALSE)&amp;"_G"&amp;F70&amp;"_N"&amp;TEXT(G70,"00")</f>
        <v>R02_G01t01_N03</v>
      </c>
      <c r="D70" s="3" t="s">
        <v>3</v>
      </c>
      <c r="E70" s="4" t="s">
        <v>18</v>
      </c>
      <c r="F70" s="4" t="s">
        <v>40</v>
      </c>
      <c r="G70" s="4">
        <v>3</v>
      </c>
      <c r="H70" t="str">
        <f>VLOOKUP(E70,'Описание значений'!$B$11:$C$18,2,FALSE)</f>
        <v>Общая ошибка в формате входных данных</v>
      </c>
      <c r="I70" t="str">
        <f>VLOOKUP(F70,'Описание значений'!$B$21:$C$39,2,FALSE)</f>
        <v>Формат входных данных не JSON</v>
      </c>
      <c r="J70" s="27" t="s">
        <v>160</v>
      </c>
      <c r="K70">
        <v>1</v>
      </c>
      <c r="L70" t="str">
        <f t="shared" si="3"/>
        <v>Testing/Data_to_import/PATCH/d6.json</v>
      </c>
      <c r="M70" t="str">
        <f t="shared" si="5"/>
        <v>curl -X PATCH -d "@Testing/Data_to_import/PATCH/d6.json" 0.0.0.0:8080/imports/2/citizens/1</v>
      </c>
      <c r="N70" s="27">
        <v>400</v>
      </c>
      <c r="O70" s="27">
        <f>LOGS!F70</f>
        <v>400</v>
      </c>
      <c r="P70" s="33" t="str">
        <f t="shared" si="4"/>
        <v>OK</v>
      </c>
      <c r="Q70" s="27" t="str">
        <f>LOGS!G70</f>
        <v xml:space="preserve"> Import data is not in JSON format</v>
      </c>
      <c r="R70">
        <f>LOGS!H70</f>
        <v>1.024E-3</v>
      </c>
    </row>
    <row r="71" spans="1:18" x14ac:dyDescent="0.25">
      <c r="A71">
        <v>70</v>
      </c>
      <c r="B71">
        <v>7</v>
      </c>
      <c r="C71" t="str">
        <f>"R"&amp;VLOOKUP(D71,'Описание значений'!$B$4:$C$8,2,FALSE)&amp;"_G"&amp;F71&amp;"_N"&amp;TEXT(G71,"00")</f>
        <v>R02_G01t02_N01</v>
      </c>
      <c r="D71" s="8" t="s">
        <v>3</v>
      </c>
      <c r="E71" s="8" t="s">
        <v>18</v>
      </c>
      <c r="F71" s="8" t="s">
        <v>42</v>
      </c>
      <c r="G71" s="7">
        <v>1</v>
      </c>
      <c r="H71" t="str">
        <f>VLOOKUP(E71,'Описание значений'!$B$11:$C$18,2,FALSE)</f>
        <v>Общая ошибка в формате входных данных</v>
      </c>
      <c r="I71" t="str">
        <f>VLOOKUP(F71,'Описание значений'!$B$21:$C$39,2,FALSE)</f>
        <v>Ошибка в структуре входных данных</v>
      </c>
      <c r="J71" s="27" t="s">
        <v>129</v>
      </c>
      <c r="K71">
        <v>1</v>
      </c>
      <c r="L71" t="str">
        <f t="shared" si="3"/>
        <v>Testing/Data_to_import/PATCH/d7.json</v>
      </c>
      <c r="M71" t="str">
        <f t="shared" si="5"/>
        <v>curl -X PATCH -d "@Testing/Data_to_import/PATCH/d7.json" 0.0.0.0:8080/imports/2/citizens/1</v>
      </c>
      <c r="N71" s="27">
        <v>400</v>
      </c>
      <c r="O71" s="27">
        <f>LOGS!F71</f>
        <v>400</v>
      </c>
      <c r="P71" s="33" t="str">
        <f t="shared" si="4"/>
        <v>OK</v>
      </c>
      <c r="Q71" s="27" t="str">
        <f>LOGS!G71</f>
        <v xml:space="preserve"> Import data has duplicate keys</v>
      </c>
      <c r="R71">
        <f>LOGS!H71</f>
        <v>9.7199999999999999E-4</v>
      </c>
    </row>
    <row r="72" spans="1:18" x14ac:dyDescent="0.25">
      <c r="A72">
        <v>71</v>
      </c>
      <c r="B72">
        <v>8</v>
      </c>
      <c r="C72" t="str">
        <f>"R"&amp;VLOOKUP(D72,'Описание значений'!$B$4:$C$8,2,FALSE)&amp;"_G"&amp;F72&amp;"_N"&amp;TEXT(G72,"00")</f>
        <v>R02_G01t02_N02</v>
      </c>
      <c r="D72" s="8" t="s">
        <v>3</v>
      </c>
      <c r="E72" s="8" t="s">
        <v>18</v>
      </c>
      <c r="F72" s="8" t="s">
        <v>42</v>
      </c>
      <c r="G72" s="7">
        <v>2</v>
      </c>
      <c r="H72" t="str">
        <f>VLOOKUP(E72,'Описание значений'!$B$11:$C$18,2,FALSE)</f>
        <v>Общая ошибка в формате входных данных</v>
      </c>
      <c r="I72" t="str">
        <f>VLOOKUP(F72,'Описание значений'!$B$21:$C$39,2,FALSE)</f>
        <v>Ошибка в структуре входных данных</v>
      </c>
      <c r="J72" s="27" t="s">
        <v>130</v>
      </c>
      <c r="K72">
        <v>1</v>
      </c>
      <c r="L72" t="str">
        <f t="shared" si="3"/>
        <v>Testing/Data_to_import/PATCH/d8.json</v>
      </c>
      <c r="M72" t="str">
        <f t="shared" si="5"/>
        <v>curl -X PATCH -d "@Testing/Data_to_import/PATCH/d8.json" 0.0.0.0:8080/imports/2/citizens/1</v>
      </c>
      <c r="N72" s="27">
        <v>400</v>
      </c>
      <c r="O72" s="27">
        <f>LOGS!F72</f>
        <v>400</v>
      </c>
      <c r="P72" s="33" t="str">
        <f t="shared" si="4"/>
        <v>OK</v>
      </c>
      <c r="Q72" s="27" t="str">
        <f>LOGS!G72</f>
        <v xml:space="preserve"> No valid key in import data</v>
      </c>
      <c r="R72">
        <f>LOGS!H72</f>
        <v>9.8900000000000008E-4</v>
      </c>
    </row>
    <row r="73" spans="1:18" x14ac:dyDescent="0.25">
      <c r="A73">
        <v>72</v>
      </c>
      <c r="B73">
        <v>9</v>
      </c>
      <c r="C73" t="str">
        <f>"R"&amp;VLOOKUP(D73,'Описание значений'!$B$4:$C$8,2,FALSE)&amp;"_G"&amp;F73&amp;"_N"&amp;TEXT(G73,"00")</f>
        <v>R02_G02t03_N01</v>
      </c>
      <c r="D73" s="5" t="s">
        <v>3</v>
      </c>
      <c r="E73" s="6" t="s">
        <v>24</v>
      </c>
      <c r="F73" s="6" t="s">
        <v>96</v>
      </c>
      <c r="G73" s="5">
        <v>1</v>
      </c>
      <c r="H73" t="str">
        <f>VLOOKUP(E73,'Описание значений'!$B$11:$C$18,2,FALSE)</f>
        <v>Нет необходимых полей во входных данных</v>
      </c>
      <c r="I73" t="str">
        <f>VLOOKUP(F73,'Описание значений'!$B$21:$C$39,2,FALSE)</f>
        <v>Отсутствуют все или несколько полей и есть неописанные</v>
      </c>
      <c r="J73" s="27" t="s">
        <v>131</v>
      </c>
      <c r="K73">
        <v>1</v>
      </c>
      <c r="L73" t="str">
        <f t="shared" si="3"/>
        <v>Testing/Data_to_import/PATCH/d9.json</v>
      </c>
      <c r="M73" t="str">
        <f t="shared" si="5"/>
        <v>curl -X PATCH -d "@Testing/Data_to_import/PATCH/d9.json" 0.0.0.0:8080/imports/2/citizens/1</v>
      </c>
      <c r="N73" s="27">
        <v>400</v>
      </c>
      <c r="O73" s="27">
        <f>LOGS!F73</f>
        <v>400</v>
      </c>
      <c r="P73" s="33" t="str">
        <f t="shared" si="4"/>
        <v>OK</v>
      </c>
      <c r="Q73" s="27" t="str">
        <f>LOGS!G73</f>
        <v xml:space="preserve"> One or more extra fields in import data - key child</v>
      </c>
      <c r="R73">
        <f>LOGS!H73</f>
        <v>1.0020000000000001E-3</v>
      </c>
    </row>
    <row r="74" spans="1:18" x14ac:dyDescent="0.25">
      <c r="A74">
        <v>73</v>
      </c>
      <c r="B74">
        <v>10</v>
      </c>
      <c r="C74" t="str">
        <f>"R"&amp;VLOOKUP(D74,'Описание значений'!$B$4:$C$8,2,FALSE)&amp;"_G"&amp;F74&amp;"_N"&amp;TEXT(G74,"00")</f>
        <v>R02_G02t03_N02</v>
      </c>
      <c r="D74" s="5" t="s">
        <v>3</v>
      </c>
      <c r="E74" s="6" t="s">
        <v>24</v>
      </c>
      <c r="F74" s="6" t="s">
        <v>96</v>
      </c>
      <c r="G74" s="5">
        <v>2</v>
      </c>
      <c r="H74" t="str">
        <f>VLOOKUP(E74,'Описание значений'!$B$11:$C$18,2,FALSE)</f>
        <v>Нет необходимых полей во входных данных</v>
      </c>
      <c r="I74" t="str">
        <f>VLOOKUP(F74,'Описание значений'!$B$21:$C$39,2,FALSE)</f>
        <v>Отсутствуют все или несколько полей и есть неописанные</v>
      </c>
      <c r="J74" s="27" t="s">
        <v>132</v>
      </c>
      <c r="K74">
        <v>1</v>
      </c>
      <c r="L74" t="str">
        <f t="shared" si="3"/>
        <v>Testing/Data_to_import/PATCH/d10.json</v>
      </c>
      <c r="M74" t="str">
        <f t="shared" si="5"/>
        <v>curl -X PATCH -d "@Testing/Data_to_import/PATCH/d10.json" 0.0.0.0:8080/imports/2/citizens/1</v>
      </c>
      <c r="N74" s="27">
        <v>400</v>
      </c>
      <c r="O74" s="27">
        <f>LOGS!F74</f>
        <v>400</v>
      </c>
      <c r="P74" s="33" t="str">
        <f t="shared" si="4"/>
        <v>OK</v>
      </c>
      <c r="Q74" s="27" t="str">
        <f>LOGS!G74</f>
        <v xml:space="preserve"> One or more extra fields in import data - key citizen_id</v>
      </c>
      <c r="R74">
        <f>LOGS!H74</f>
        <v>1.0870000000000001E-3</v>
      </c>
    </row>
    <row r="75" spans="1:18" x14ac:dyDescent="0.25">
      <c r="A75">
        <v>74</v>
      </c>
      <c r="B75">
        <v>11</v>
      </c>
      <c r="C75" t="str">
        <f>"R"&amp;VLOOKUP(D75,'Описание значений'!$B$4:$C$8,2,FALSE)&amp;"_G"&amp;F75&amp;"_N"&amp;TEXT(G75,"00")</f>
        <v>R02_G03t01_N01</v>
      </c>
      <c r="D75" s="3" t="s">
        <v>3</v>
      </c>
      <c r="E75" s="4" t="s">
        <v>19</v>
      </c>
      <c r="F75" s="4" t="s">
        <v>44</v>
      </c>
      <c r="G75" s="4">
        <v>1</v>
      </c>
      <c r="H75" t="str">
        <f>VLOOKUP(E75,'Описание значений'!$B$11:$C$18,2,FALSE)</f>
        <v>Лишние поля во входных данных</v>
      </c>
      <c r="I75" t="str">
        <f>VLOOKUP(F75,'Описание значений'!$B$21:$C$39,2,FALSE)</f>
        <v>Лишние поля во входных данных</v>
      </c>
      <c r="J75" s="27" t="s">
        <v>162</v>
      </c>
      <c r="K75">
        <v>1</v>
      </c>
      <c r="L75" t="str">
        <f t="shared" si="3"/>
        <v>Testing/Data_to_import/PATCH/d11.json</v>
      </c>
      <c r="M75" t="str">
        <f t="shared" si="5"/>
        <v>curl -X PATCH -d "@Testing/Data_to_import/PATCH/d11.json" 0.0.0.0:8080/imports/2/citizens/1</v>
      </c>
      <c r="N75" s="27">
        <v>400</v>
      </c>
      <c r="O75" s="27">
        <f>LOGS!F75</f>
        <v>400</v>
      </c>
      <c r="P75" s="33" t="str">
        <f t="shared" si="4"/>
        <v>OK</v>
      </c>
      <c r="Q75" s="27" t="str">
        <f>LOGS!G75</f>
        <v xml:space="preserve"> One or more extra fields in import data - key citizen_id</v>
      </c>
      <c r="R75">
        <f>LOGS!H75</f>
        <v>1.1000000000000001E-3</v>
      </c>
    </row>
    <row r="76" spans="1:18" x14ac:dyDescent="0.25">
      <c r="A76">
        <v>75</v>
      </c>
      <c r="B76">
        <v>12</v>
      </c>
      <c r="C76" t="str">
        <f>"R"&amp;VLOOKUP(D76,'Описание значений'!$B$4:$C$8,2,FALSE)&amp;"_G"&amp;F76&amp;"_N"&amp;TEXT(G76,"00")</f>
        <v>R02_G03t01_N02</v>
      </c>
      <c r="D76" s="3" t="s">
        <v>3</v>
      </c>
      <c r="E76" s="4" t="s">
        <v>19</v>
      </c>
      <c r="F76" s="4" t="s">
        <v>44</v>
      </c>
      <c r="G76" s="4">
        <v>2</v>
      </c>
      <c r="H76" t="str">
        <f>VLOOKUP(E76,'Описание значений'!$B$11:$C$18,2,FALSE)</f>
        <v>Лишние поля во входных данных</v>
      </c>
      <c r="I76" t="str">
        <f>VLOOKUP(F76,'Описание значений'!$B$21:$C$39,2,FALSE)</f>
        <v>Лишние поля во входных данных</v>
      </c>
      <c r="J76" s="27" t="s">
        <v>133</v>
      </c>
      <c r="K76">
        <v>1</v>
      </c>
      <c r="L76" t="str">
        <f t="shared" si="3"/>
        <v>Testing/Data_to_import/PATCH/d12.json</v>
      </c>
      <c r="M76" t="str">
        <f t="shared" si="5"/>
        <v>curl -X PATCH -d "@Testing/Data_to_import/PATCH/d12.json" 0.0.0.0:8080/imports/2/citizens/1</v>
      </c>
      <c r="N76" s="27">
        <v>400</v>
      </c>
      <c r="O76" s="27">
        <f>LOGS!F76</f>
        <v>400</v>
      </c>
      <c r="P76" s="33" t="str">
        <f t="shared" si="4"/>
        <v>OK</v>
      </c>
      <c r="Q76" s="27" t="str">
        <f>LOGS!G76</f>
        <v xml:space="preserve"> One or more extra fields in import data - key child</v>
      </c>
      <c r="R76">
        <f>LOGS!H76</f>
        <v>8.1999999999999998E-4</v>
      </c>
    </row>
    <row r="77" spans="1:18" x14ac:dyDescent="0.25">
      <c r="A77">
        <v>76</v>
      </c>
      <c r="B77">
        <v>13</v>
      </c>
      <c r="C77" t="str">
        <f>"R"&amp;VLOOKUP(D77,'Описание значений'!$B$4:$C$8,2,FALSE)&amp;"_G"&amp;F77&amp;"_N"&amp;TEXT(G77,"00")</f>
        <v>R02_G04t01_N01</v>
      </c>
      <c r="D77" s="5" t="s">
        <v>3</v>
      </c>
      <c r="E77" s="6" t="s">
        <v>20</v>
      </c>
      <c r="F77" s="6" t="s">
        <v>45</v>
      </c>
      <c r="G77" s="5">
        <v>1</v>
      </c>
      <c r="H77" t="str">
        <f>VLOOKUP(E77,'Описание значений'!$B$11:$C$18,2,FALSE)</f>
        <v>Ошибка в значениях во входных данных</v>
      </c>
      <c r="I77" t="str">
        <f>VLOOKUP(F77,'Описание значений'!$B$21:$C$39,2,FALSE)</f>
        <v>Присутствует отрицательное число</v>
      </c>
      <c r="J77" s="27" t="s">
        <v>134</v>
      </c>
      <c r="K77">
        <v>1</v>
      </c>
      <c r="L77" t="str">
        <f t="shared" si="3"/>
        <v>Testing/Data_to_import/PATCH/d13.json</v>
      </c>
      <c r="M77" t="str">
        <f t="shared" si="5"/>
        <v>curl -X PATCH -d "@Testing/Data_to_import/PATCH/d13.json" 0.0.0.0:8080/imports/2/citizens/1</v>
      </c>
      <c r="N77" s="27">
        <v>400</v>
      </c>
      <c r="O77" s="27">
        <f>LOGS!F77</f>
        <v>400</v>
      </c>
      <c r="P77" s="33" t="str">
        <f t="shared" si="4"/>
        <v>OK</v>
      </c>
      <c r="Q77" s="27" t="str">
        <f>LOGS!G77</f>
        <v xml:space="preserve"> One or more values in import data are invalid - key apartment</v>
      </c>
      <c r="R77">
        <f>LOGS!H77</f>
        <v>1.021E-3</v>
      </c>
    </row>
    <row r="78" spans="1:18" x14ac:dyDescent="0.25">
      <c r="A78">
        <v>77</v>
      </c>
      <c r="B78">
        <v>14</v>
      </c>
      <c r="C78" t="str">
        <f>"R"&amp;VLOOKUP(D78,'Описание значений'!$B$4:$C$8,2,FALSE)&amp;"_G"&amp;F78&amp;"_N"&amp;TEXT(G78,"00")</f>
        <v>R02_G04t02_N01</v>
      </c>
      <c r="D78" s="9" t="s">
        <v>3</v>
      </c>
      <c r="E78" s="10" t="s">
        <v>20</v>
      </c>
      <c r="F78" s="9" t="s">
        <v>46</v>
      </c>
      <c r="G78" s="9">
        <v>1</v>
      </c>
      <c r="H78" t="str">
        <f>VLOOKUP(E78,'Описание значений'!$B$11:$C$18,2,FALSE)</f>
        <v>Ошибка в значениях во входных данных</v>
      </c>
      <c r="I78" t="str">
        <f>VLOOKUP(F78,'Описание значений'!$B$21:$C$39,2,FALSE)</f>
        <v xml:space="preserve">Неверные длина строки/числовое значение </v>
      </c>
      <c r="J78" s="27" t="s">
        <v>135</v>
      </c>
      <c r="K78">
        <v>1</v>
      </c>
      <c r="L78" t="str">
        <f t="shared" si="3"/>
        <v>Testing/Data_to_import/PATCH/d14.json</v>
      </c>
      <c r="M78" t="str">
        <f t="shared" si="5"/>
        <v>curl -X PATCH -d "@Testing/Data_to_import/PATCH/d14.json" 0.0.0.0:8080/imports/2/citizens/1</v>
      </c>
      <c r="N78" s="27">
        <v>400</v>
      </c>
      <c r="O78" s="27">
        <f>LOGS!F78</f>
        <v>400</v>
      </c>
      <c r="P78" s="33" t="str">
        <f t="shared" si="4"/>
        <v>OK</v>
      </c>
      <c r="Q78" s="27" t="str">
        <f>LOGS!G78</f>
        <v xml:space="preserve"> One or more values in import data are invalid - key street</v>
      </c>
      <c r="R78">
        <f>LOGS!H78</f>
        <v>7.36E-4</v>
      </c>
    </row>
    <row r="79" spans="1:18" x14ac:dyDescent="0.25">
      <c r="A79">
        <v>78</v>
      </c>
      <c r="B79">
        <v>15</v>
      </c>
      <c r="C79" t="str">
        <f>"R"&amp;VLOOKUP(D79,'Описание значений'!$B$4:$C$8,2,FALSE)&amp;"_G"&amp;F79&amp;"_N"&amp;TEXT(G79,"00")</f>
        <v>R02_G04t03_N01</v>
      </c>
      <c r="D79" s="5" t="s">
        <v>3</v>
      </c>
      <c r="E79" s="6" t="s">
        <v>20</v>
      </c>
      <c r="F79" s="6" t="s">
        <v>87</v>
      </c>
      <c r="G79" s="5">
        <v>1</v>
      </c>
      <c r="H79" t="str">
        <f>VLOOKUP(E79,'Описание значений'!$B$11:$C$18,2,FALSE)</f>
        <v>Ошибка в значениях во входных данных</v>
      </c>
      <c r="I79" t="str">
        <f>VLOOKUP(F79,'Описание значений'!$B$21:$C$39,2,FALSE)</f>
        <v>Дата не является валидной</v>
      </c>
      <c r="J79" s="27" t="s">
        <v>136</v>
      </c>
      <c r="K79">
        <v>1</v>
      </c>
      <c r="L79" t="str">
        <f t="shared" si="3"/>
        <v>Testing/Data_to_import/PATCH/d15.json</v>
      </c>
      <c r="M79" t="str">
        <f t="shared" si="5"/>
        <v>curl -X PATCH -d "@Testing/Data_to_import/PATCH/d15.json" 0.0.0.0:8080/imports/2/citizens/1</v>
      </c>
      <c r="N79" s="27">
        <v>400</v>
      </c>
      <c r="O79" s="27">
        <f>LOGS!F79</f>
        <v>400</v>
      </c>
      <c r="P79" s="33" t="str">
        <f t="shared" si="4"/>
        <v>OK</v>
      </c>
      <c r="Q79" s="27" t="str">
        <f>LOGS!G79</f>
        <v xml:space="preserve"> birth_date is invaild or has incorrect format, must be dd.mm.yyyy</v>
      </c>
      <c r="R79">
        <f>LOGS!H79</f>
        <v>1.1869999999999999E-3</v>
      </c>
    </row>
    <row r="80" spans="1:18" x14ac:dyDescent="0.25">
      <c r="A80">
        <v>79</v>
      </c>
      <c r="B80">
        <v>16</v>
      </c>
      <c r="C80" t="str">
        <f>"R"&amp;VLOOKUP(D80,'Описание значений'!$B$4:$C$8,2,FALSE)&amp;"_G"&amp;F80&amp;"_N"&amp;TEXT(G80,"00")</f>
        <v>R02_G04t04_N01</v>
      </c>
      <c r="D80" s="9" t="s">
        <v>3</v>
      </c>
      <c r="E80" s="10" t="s">
        <v>20</v>
      </c>
      <c r="F80" s="9" t="s">
        <v>100</v>
      </c>
      <c r="G80" s="9">
        <v>1</v>
      </c>
      <c r="H80" t="str">
        <f>VLOOKUP(E80,'Описание значений'!$B$11:$C$18,2,FALSE)</f>
        <v>Ошибка в значениях во входных данных</v>
      </c>
      <c r="I80" t="str">
        <f>VLOOKUP(F80,'Описание значений'!$B$21:$C$39,2,FALSE)</f>
        <v>Пол не является валидным</v>
      </c>
      <c r="J80" s="27" t="s">
        <v>137</v>
      </c>
      <c r="K80">
        <v>1</v>
      </c>
      <c r="L80" t="str">
        <f t="shared" si="3"/>
        <v>Testing/Data_to_import/PATCH/d16.json</v>
      </c>
      <c r="M80" t="str">
        <f t="shared" si="5"/>
        <v>curl -X PATCH -d "@Testing/Data_to_import/PATCH/d16.json" 0.0.0.0:8080/imports/2/citizens/1</v>
      </c>
      <c r="N80" s="27">
        <v>400</v>
      </c>
      <c r="O80" s="27">
        <f>LOGS!F80</f>
        <v>400</v>
      </c>
      <c r="P80" s="33" t="str">
        <f t="shared" si="4"/>
        <v>OK</v>
      </c>
      <c r="Q80" s="27" t="str">
        <f>LOGS!G80</f>
        <v xml:space="preserve"> Invalid gender</v>
      </c>
      <c r="R80">
        <f>LOGS!H80</f>
        <v>1.356E-3</v>
      </c>
    </row>
    <row r="81" spans="1:18" x14ac:dyDescent="0.25">
      <c r="A81">
        <v>80</v>
      </c>
      <c r="B81">
        <v>17</v>
      </c>
      <c r="C81" t="str">
        <f>"R"&amp;VLOOKUP(D81,'Описание значений'!$B$4:$C$8,2,FALSE)&amp;"_G"&amp;F81&amp;"_N"&amp;TEXT(G81,"00")</f>
        <v>R02_G04t05_N01</v>
      </c>
      <c r="D81" s="5" t="s">
        <v>3</v>
      </c>
      <c r="E81" s="6" t="s">
        <v>20</v>
      </c>
      <c r="F81" s="6" t="s">
        <v>99</v>
      </c>
      <c r="G81" s="5">
        <v>1</v>
      </c>
      <c r="H81" t="str">
        <f>VLOOKUP(E81,'Описание значений'!$B$11:$C$18,2,FALSE)</f>
        <v>Ошибка в значениях во входных данных</v>
      </c>
      <c r="I81" t="str">
        <f>VLOOKUP(F81,'Описание значений'!$B$21:$C$39,2,FALSE)</f>
        <v>Дублирование citizen_id</v>
      </c>
      <c r="J81" s="27" t="s">
        <v>163</v>
      </c>
      <c r="K81">
        <v>1</v>
      </c>
      <c r="L81" t="str">
        <f t="shared" si="3"/>
        <v>Testing/Data_to_import/PATCH/d17.json</v>
      </c>
      <c r="M81" t="str">
        <f t="shared" si="5"/>
        <v>curl -X PATCH -d "@Testing/Data_to_import/PATCH/d17.json" 0.0.0.0:8080/imports/2/citizens/1</v>
      </c>
      <c r="N81" s="27">
        <v>400</v>
      </c>
      <c r="O81" s="27">
        <f>LOGS!F81</f>
        <v>400</v>
      </c>
      <c r="P81" s="33" t="str">
        <f t="shared" si="4"/>
        <v>OK</v>
      </c>
      <c r="Q81" s="27" t="str">
        <f>LOGS!G81</f>
        <v xml:space="preserve"> Duplicate citizen_id in relatives list</v>
      </c>
      <c r="R81">
        <f>LOGS!H81</f>
        <v>1.0640000000000001E-3</v>
      </c>
    </row>
    <row r="82" spans="1:18" x14ac:dyDescent="0.25">
      <c r="A82">
        <v>81</v>
      </c>
      <c r="B82">
        <v>18</v>
      </c>
      <c r="C82" t="str">
        <f>"R"&amp;VLOOKUP(D82,'Описание значений'!$B$4:$C$8,2,FALSE)&amp;"_G"&amp;F82&amp;"_N"&amp;TEXT(G82,"00")</f>
        <v>R02_G04t06_N01</v>
      </c>
      <c r="D82" s="9" t="s">
        <v>3</v>
      </c>
      <c r="E82" s="10" t="s">
        <v>20</v>
      </c>
      <c r="F82" s="9" t="s">
        <v>115</v>
      </c>
      <c r="G82" s="9">
        <v>1</v>
      </c>
      <c r="H82" t="str">
        <f>VLOOKUP(E82,'Описание значений'!$B$11:$C$18,2,FALSE)</f>
        <v>Ошибка в значениях во входных данных</v>
      </c>
      <c r="I82" t="str">
        <f>VLOOKUP(F82,'Описание значений'!$B$21:$C$39,2,FALSE)</f>
        <v>Несуществующий citizen_id в родственных связях</v>
      </c>
      <c r="J82" s="27" t="s">
        <v>138</v>
      </c>
      <c r="K82">
        <v>1</v>
      </c>
      <c r="L82" t="str">
        <f t="shared" si="3"/>
        <v>Testing/Data_to_import/PATCH/d18.json</v>
      </c>
      <c r="M82" t="str">
        <f t="shared" si="5"/>
        <v>curl -X PATCH -d "@Testing/Data_to_import/PATCH/d18.json" 0.0.0.0:8080/imports/2/citizens/1</v>
      </c>
      <c r="N82" s="27">
        <v>400</v>
      </c>
      <c r="O82" s="27">
        <f>LOGS!F82</f>
        <v>400</v>
      </c>
      <c r="P82" s="33" t="str">
        <f t="shared" si="4"/>
        <v>OK</v>
      </c>
      <c r="Q82" s="27" t="str">
        <f>LOGS!G82</f>
        <v xml:space="preserve"> Nonexistent citizen_id 100 in the list of relatives</v>
      </c>
      <c r="R82">
        <f>LOGS!H82</f>
        <v>1.1130000000000001E-3</v>
      </c>
    </row>
    <row r="83" spans="1:18" x14ac:dyDescent="0.25">
      <c r="A83">
        <v>82</v>
      </c>
      <c r="B83">
        <v>19</v>
      </c>
      <c r="C83" t="str">
        <f>"R"&amp;VLOOKUP(D83,'Описание значений'!$B$4:$C$8,2,FALSE)&amp;"_G"&amp;F83&amp;"_N"&amp;TEXT(G83,"00")</f>
        <v>R02_G05t01_N01</v>
      </c>
      <c r="D83" s="3" t="s">
        <v>3</v>
      </c>
      <c r="E83" s="4" t="s">
        <v>21</v>
      </c>
      <c r="F83" s="4" t="s">
        <v>47</v>
      </c>
      <c r="G83" s="4">
        <v>1</v>
      </c>
      <c r="H83" t="str">
        <f>VLOOKUP(E83,'Описание значений'!$B$11:$C$18,2,FALSE)</f>
        <v>Ошибка в форматах во входных данных</v>
      </c>
      <c r="I83" t="str">
        <f>VLOOKUP(F83,'Описание значений'!$B$21:$C$39,2,FALSE)</f>
        <v>Формат одного или нескольких полей неверный (int,str,list)</v>
      </c>
      <c r="J83" s="27" t="s">
        <v>139</v>
      </c>
      <c r="K83">
        <v>1</v>
      </c>
      <c r="L83" t="str">
        <f t="shared" si="3"/>
        <v>Testing/Data_to_import/PATCH/d19.json</v>
      </c>
      <c r="M83" t="str">
        <f t="shared" si="5"/>
        <v>curl -X PATCH -d "@Testing/Data_to_import/PATCH/d19.json" 0.0.0.0:8080/imports/2/citizens/1</v>
      </c>
      <c r="N83" s="27">
        <v>400</v>
      </c>
      <c r="O83" s="27">
        <f>LOGS!F83</f>
        <v>400</v>
      </c>
      <c r="P83" s="33" t="str">
        <f t="shared" si="4"/>
        <v>OK</v>
      </c>
      <c r="Q83" s="27" t="str">
        <f>LOGS!G83</f>
        <v xml:space="preserve"> One or more fields in import data have incorrect type - key building</v>
      </c>
      <c r="R83">
        <f>LOGS!H83</f>
        <v>9.2500000000000004E-4</v>
      </c>
    </row>
    <row r="84" spans="1:18" x14ac:dyDescent="0.25">
      <c r="A84">
        <v>83</v>
      </c>
      <c r="B84">
        <v>20</v>
      </c>
      <c r="C84" t="str">
        <f>"R"&amp;VLOOKUP(D84,'Описание значений'!$B$4:$C$8,2,FALSE)&amp;"_G"&amp;F84&amp;"_N"&amp;TEXT(G84,"00")</f>
        <v>R02_G05t02_N01</v>
      </c>
      <c r="D84" s="8" t="s">
        <v>3</v>
      </c>
      <c r="E84" s="8" t="s">
        <v>21</v>
      </c>
      <c r="F84" s="8" t="s">
        <v>48</v>
      </c>
      <c r="G84" s="7">
        <v>1</v>
      </c>
      <c r="H84" t="str">
        <f>VLOOKUP(E84,'Описание значений'!$B$11:$C$18,2,FALSE)</f>
        <v>Ошибка в форматах во входных данных</v>
      </c>
      <c r="I84" t="str">
        <f>VLOOKUP(F84,'Описание значений'!$B$21:$C$39,2,FALSE)</f>
        <v>Формат даты неверный (не ДД.ММ.ГГГГ)</v>
      </c>
      <c r="J84" s="27" t="s">
        <v>140</v>
      </c>
      <c r="K84">
        <v>1</v>
      </c>
      <c r="L84" t="str">
        <f t="shared" si="3"/>
        <v>Testing/Data_to_import/PATCH/d20.json</v>
      </c>
      <c r="M84" t="str">
        <f t="shared" si="5"/>
        <v>curl -X PATCH -d "@Testing/Data_to_import/PATCH/d20.json" 0.0.0.0:8080/imports/2/citizens/1</v>
      </c>
      <c r="N84" s="27">
        <v>400</v>
      </c>
      <c r="O84" s="27">
        <f>LOGS!F84</f>
        <v>400</v>
      </c>
      <c r="P84" s="33" t="str">
        <f t="shared" si="4"/>
        <v>OK</v>
      </c>
      <c r="Q84" s="27" t="str">
        <f>LOGS!G84</f>
        <v xml:space="preserve"> birth_date is invaild or has incorrect format, must be dd.mm.yyyy</v>
      </c>
      <c r="R84">
        <f>LOGS!H84</f>
        <v>9.7799999999999992E-4</v>
      </c>
    </row>
    <row r="85" spans="1:18" x14ac:dyDescent="0.25">
      <c r="A85">
        <v>84</v>
      </c>
      <c r="B85">
        <v>21</v>
      </c>
      <c r="C85" t="str">
        <f>"R"&amp;VLOOKUP(D85,'Описание значений'!$B$4:$C$8,2,FALSE)&amp;"_G"&amp;F85&amp;"_N"&amp;TEXT(G85,"00")</f>
        <v>R02_G06t01_N01</v>
      </c>
      <c r="D85" s="5" t="s">
        <v>3</v>
      </c>
      <c r="E85" s="6" t="s">
        <v>22</v>
      </c>
      <c r="F85" s="6" t="s">
        <v>98</v>
      </c>
      <c r="G85" s="5">
        <v>1</v>
      </c>
      <c r="H85" t="str">
        <f>VLOOKUP(E85,'Описание значений'!$B$11:$C$18,2,FALSE)</f>
        <v>Ошибка в строке запроса</v>
      </c>
      <c r="I85" t="str">
        <f>VLOOKUP(F85,'Описание значений'!$B$21:$C$39,2,FALSE)</f>
        <v>Отсутствует указанный import_id</v>
      </c>
      <c r="J85" s="27" t="s">
        <v>142</v>
      </c>
      <c r="K85">
        <v>1</v>
      </c>
      <c r="L85" t="str">
        <f t="shared" si="3"/>
        <v>Testing/Data_to_import/PATCH/d21.json</v>
      </c>
      <c r="M85" t="str">
        <f>"curl -X PATCH -d ""@"&amp;L85&amp;""" 0.0.0.0:8080/imports/-4/citizens/1"</f>
        <v>curl -X PATCH -d "@Testing/Data_to_import/PATCH/d21.json" 0.0.0.0:8080/imports/-4/citizens/1</v>
      </c>
      <c r="N85" s="27">
        <v>400</v>
      </c>
      <c r="O85" s="27">
        <f>LOGS!F85</f>
        <v>400</v>
      </c>
      <c r="P85" s="33" t="str">
        <f t="shared" si="4"/>
        <v>OK</v>
      </c>
      <c r="Q85" s="27" t="str">
        <f>LOGS!G85</f>
        <v xml:space="preserve"> Invalid import_id</v>
      </c>
      <c r="R85">
        <f>LOGS!H85</f>
        <v>1.73E-3</v>
      </c>
    </row>
    <row r="86" spans="1:18" x14ac:dyDescent="0.25">
      <c r="A86">
        <v>85</v>
      </c>
      <c r="B86">
        <v>22</v>
      </c>
      <c r="C86" t="str">
        <f>"R"&amp;VLOOKUP(D86,'Описание значений'!$B$4:$C$8,2,FALSE)&amp;"_G"&amp;F86&amp;"_N"&amp;TEXT(G86,"00")</f>
        <v>R02_G06t01_N02</v>
      </c>
      <c r="D86" s="5" t="s">
        <v>3</v>
      </c>
      <c r="E86" s="6" t="s">
        <v>22</v>
      </c>
      <c r="F86" s="6" t="s">
        <v>98</v>
      </c>
      <c r="G86" s="5">
        <v>2</v>
      </c>
      <c r="H86" t="str">
        <f>VLOOKUP(E86,'Описание значений'!$B$11:$C$18,2,FALSE)</f>
        <v>Ошибка в строке запроса</v>
      </c>
      <c r="I86" t="str">
        <f>VLOOKUP(F86,'Описание значений'!$B$21:$C$39,2,FALSE)</f>
        <v>Отсутствует указанный import_id</v>
      </c>
      <c r="J86" s="27" t="s">
        <v>141</v>
      </c>
      <c r="K86">
        <v>1</v>
      </c>
      <c r="L86" t="str">
        <f t="shared" si="3"/>
        <v>Testing/Data_to_import/PATCH/d22.json</v>
      </c>
      <c r="M86" t="str">
        <f>"curl -X PATCH -d ""@"&amp;L86&amp;""" 0.0.0.0:8080/imports/0/citizens/1"</f>
        <v>curl -X PATCH -d "@Testing/Data_to_import/PATCH/d22.json" 0.0.0.0:8080/imports/0/citizens/1</v>
      </c>
      <c r="N86" s="27">
        <v>400</v>
      </c>
      <c r="O86" s="27">
        <f>LOGS!F86</f>
        <v>400</v>
      </c>
      <c r="P86" s="33" t="str">
        <f t="shared" si="4"/>
        <v>OK</v>
      </c>
      <c r="Q86" s="27" t="str">
        <f>LOGS!G86</f>
        <v xml:space="preserve"> Invalid import_id</v>
      </c>
      <c r="R86">
        <f>LOGS!H86</f>
        <v>7.0299999999999996E-4</v>
      </c>
    </row>
    <row r="87" spans="1:18" x14ac:dyDescent="0.25">
      <c r="A87">
        <v>86</v>
      </c>
      <c r="B87">
        <v>23</v>
      </c>
      <c r="C87" t="str">
        <f>"R"&amp;VLOOKUP(D87,'Описание значений'!$B$4:$C$8,2,FALSE)&amp;"_G"&amp;F87&amp;"_N"&amp;TEXT(G87,"00")</f>
        <v>R02_G06t01_N03</v>
      </c>
      <c r="D87" s="5" t="s">
        <v>3</v>
      </c>
      <c r="E87" s="6" t="s">
        <v>22</v>
      </c>
      <c r="F87" s="6" t="s">
        <v>98</v>
      </c>
      <c r="G87" s="5">
        <v>3</v>
      </c>
      <c r="H87" t="str">
        <f>VLOOKUP(E87,'Описание значений'!$B$11:$C$18,2,FALSE)</f>
        <v>Ошибка в строке запроса</v>
      </c>
      <c r="I87" t="str">
        <f>VLOOKUP(F87,'Описание значений'!$B$21:$C$39,2,FALSE)</f>
        <v>Отсутствует указанный import_id</v>
      </c>
      <c r="J87" s="27" t="s">
        <v>143</v>
      </c>
      <c r="K87">
        <v>1</v>
      </c>
      <c r="L87" t="str">
        <f t="shared" si="3"/>
        <v>Testing/Data_to_import/PATCH/d23.json</v>
      </c>
      <c r="M87" t="str">
        <f>"curl -X PATCH -d ""@"&amp;L87&amp;""" 0.0.0.0:8080/imports/555/citizens/1"</f>
        <v>curl -X PATCH -d "@Testing/Data_to_import/PATCH/d23.json" 0.0.0.0:8080/imports/555/citizens/1</v>
      </c>
      <c r="N87" s="27">
        <v>400</v>
      </c>
      <c r="O87" s="27">
        <f>LOGS!F87</f>
        <v>400</v>
      </c>
      <c r="P87" s="33" t="str">
        <f t="shared" si="4"/>
        <v>OK</v>
      </c>
      <c r="Q87" s="27" t="str">
        <f>LOGS!G87</f>
        <v xml:space="preserve"> Invalid import_id</v>
      </c>
      <c r="R87">
        <f>LOGS!H87</f>
        <v>1.6590000000000001E-3</v>
      </c>
    </row>
    <row r="88" spans="1:18" x14ac:dyDescent="0.25">
      <c r="A88" s="13">
        <v>87</v>
      </c>
      <c r="B88" s="13">
        <v>24</v>
      </c>
      <c r="C88" s="13" t="str">
        <f>"R"&amp;VLOOKUP(D88,'Описание значений'!$B$4:$C$8,2,FALSE)&amp;"_G"&amp;F88&amp;"_N"&amp;TEXT(G88,"00")</f>
        <v>R02_G06t02_N01</v>
      </c>
      <c r="D88" s="18" t="s">
        <v>3</v>
      </c>
      <c r="E88" s="19" t="s">
        <v>22</v>
      </c>
      <c r="F88" s="18" t="s">
        <v>97</v>
      </c>
      <c r="G88" s="18">
        <v>1</v>
      </c>
      <c r="H88" s="13" t="str">
        <f>VLOOKUP(E88,'Описание значений'!$B$11:$C$18,2,FALSE)</f>
        <v>Ошибка в строке запроса</v>
      </c>
      <c r="I88" s="13" t="str">
        <f>VLOOKUP(F88,'Описание значений'!$B$21:$C$39,2,FALSE)</f>
        <v>Отсутствует указанный citizen_id</v>
      </c>
      <c r="J88" s="28" t="s">
        <v>144</v>
      </c>
      <c r="K88" s="13">
        <v>1</v>
      </c>
      <c r="L88" s="13" t="str">
        <f t="shared" si="3"/>
        <v>Testing/Data_to_import/PATCH/d24.json</v>
      </c>
      <c r="M88" s="13" t="str">
        <f>"curl -X PATCH -d ""@"&amp;L88&amp;""" 0.0.0.0:8080/imports/2/citizens/-8"</f>
        <v>curl -X PATCH -d "@Testing/Data_to_import/PATCH/d24.json" 0.0.0.0:8080/imports/2/citizens/-8</v>
      </c>
      <c r="N88" s="28">
        <v>400</v>
      </c>
      <c r="O88" s="28">
        <f>LOGS!F88</f>
        <v>400</v>
      </c>
      <c r="P88" s="34" t="str">
        <f t="shared" si="4"/>
        <v>OK</v>
      </c>
      <c r="Q88" s="28" t="str">
        <f>LOGS!G88</f>
        <v xml:space="preserve"> Invalid citizen_id</v>
      </c>
      <c r="R88">
        <f>LOGS!H88</f>
        <v>1.864E-3</v>
      </c>
    </row>
    <row r="89" spans="1:18" x14ac:dyDescent="0.25">
      <c r="A89" s="11">
        <v>88</v>
      </c>
      <c r="B89" s="11">
        <v>25</v>
      </c>
      <c r="C89" s="11" t="str">
        <f>"R"&amp;VLOOKUP(D89,'Описание значений'!$B$4:$C$8,2,FALSE)&amp;"_G"&amp;F89&amp;"_N"&amp;TEXT(G89,"00")</f>
        <v>R02_G06t02_N02</v>
      </c>
      <c r="D89" s="20" t="s">
        <v>3</v>
      </c>
      <c r="E89" s="21" t="s">
        <v>22</v>
      </c>
      <c r="F89" s="20" t="s">
        <v>97</v>
      </c>
      <c r="G89" s="20">
        <v>2</v>
      </c>
      <c r="H89" s="11" t="str">
        <f>VLOOKUP(E89,'Описание значений'!$B$11:$C$18,2,FALSE)</f>
        <v>Ошибка в строке запроса</v>
      </c>
      <c r="I89" s="11" t="str">
        <f>VLOOKUP(F89,'Описание значений'!$B$21:$C$39,2,FALSE)</f>
        <v>Отсутствует указанный citizen_id</v>
      </c>
      <c r="J89" s="29" t="s">
        <v>145</v>
      </c>
      <c r="K89" s="11">
        <v>1</v>
      </c>
      <c r="L89" s="11" t="str">
        <f t="shared" si="3"/>
        <v>Testing/Data_to_import/PATCH/d25.json</v>
      </c>
      <c r="M89" s="11" t="str">
        <f>"curl -X PATCH -d ""@"&amp;L89&amp;""" 0.0.0.0:8080/imports/2/citizens/123"</f>
        <v>curl -X PATCH -d "@Testing/Data_to_import/PATCH/d25.json" 0.0.0.0:8080/imports/2/citizens/123</v>
      </c>
      <c r="N89" s="29">
        <v>400</v>
      </c>
      <c r="O89" s="29">
        <f>LOGS!F89</f>
        <v>400</v>
      </c>
      <c r="P89" s="35" t="str">
        <f t="shared" si="4"/>
        <v>OK</v>
      </c>
      <c r="Q89" s="29" t="str">
        <f>LOGS!G89</f>
        <v xml:space="preserve"> Invalid citizen_id</v>
      </c>
      <c r="R89">
        <f>LOGS!H89</f>
        <v>1.895E-3</v>
      </c>
    </row>
    <row r="90" spans="1:18" x14ac:dyDescent="0.25">
      <c r="A90" s="13">
        <v>89</v>
      </c>
      <c r="B90" s="13">
        <v>1</v>
      </c>
      <c r="C90" s="13" t="str">
        <f>"R"&amp;VLOOKUP(D90,'Описание значений'!$B$4:$C$8,2,FALSE)&amp;"_G"&amp;F90&amp;"_N"&amp;TEXT(G90,"00")</f>
        <v>R03_G00t01_N01</v>
      </c>
      <c r="D90" s="15" t="s">
        <v>4</v>
      </c>
      <c r="E90" s="16" t="s">
        <v>23</v>
      </c>
      <c r="F90" s="16" t="s">
        <v>41</v>
      </c>
      <c r="G90" s="16">
        <v>1</v>
      </c>
      <c r="H90" s="13" t="str">
        <f>VLOOKUP(E90,'Описание значений'!$B$11:$C$18,2,FALSE)</f>
        <v>Верный запрос</v>
      </c>
      <c r="I90" s="13" t="str">
        <f>VLOOKUP(F90,'Описание значений'!$B$21:$C$39,2,FALSE)</f>
        <v>Верный запрос</v>
      </c>
      <c r="J90" s="17" t="s">
        <v>146</v>
      </c>
      <c r="K90" s="13">
        <v>0</v>
      </c>
      <c r="L90" s="13"/>
      <c r="M90" s="13" t="s">
        <v>164</v>
      </c>
      <c r="N90" s="17">
        <v>200</v>
      </c>
      <c r="O90" s="17">
        <f>LOGS!F90</f>
        <v>200</v>
      </c>
      <c r="P90" s="34" t="str">
        <f t="shared" si="4"/>
        <v>OK</v>
      </c>
      <c r="Q90" s="17" t="str">
        <f>LOGS!G90</f>
        <v xml:space="preserve"> longer than 300 symbols</v>
      </c>
      <c r="R90">
        <f>LOGS!H90</f>
        <v>1.0023000000000001E-2</v>
      </c>
    </row>
    <row r="91" spans="1:18" x14ac:dyDescent="0.25">
      <c r="A91" s="11">
        <v>90</v>
      </c>
      <c r="B91" s="11">
        <v>2</v>
      </c>
      <c r="C91" s="11" t="str">
        <f>"R"&amp;VLOOKUP(D91,'Описание значений'!$B$4:$C$8,2,FALSE)&amp;"_G"&amp;F91&amp;"_N"&amp;TEXT(G91,"00")</f>
        <v>R03_G06t01_N01</v>
      </c>
      <c r="D91" s="22" t="s">
        <v>4</v>
      </c>
      <c r="E91" s="23" t="s">
        <v>22</v>
      </c>
      <c r="F91" s="23" t="s">
        <v>98</v>
      </c>
      <c r="G91" s="22">
        <v>1</v>
      </c>
      <c r="H91" s="11" t="str">
        <f>VLOOKUP(E91,'Описание значений'!$B$11:$C$18,2,FALSE)</f>
        <v>Ошибка в строке запроса</v>
      </c>
      <c r="I91" s="11" t="str">
        <f>VLOOKUP(F91,'Описание значений'!$B$21:$C$39,2,FALSE)</f>
        <v>Отсутствует указанный import_id</v>
      </c>
      <c r="J91" s="29" t="s">
        <v>147</v>
      </c>
      <c r="K91" s="11">
        <v>0</v>
      </c>
      <c r="L91" s="11"/>
      <c r="M91" s="11" t="s">
        <v>165</v>
      </c>
      <c r="N91" s="29">
        <v>400</v>
      </c>
      <c r="O91" s="29">
        <f>LOGS!F91</f>
        <v>400</v>
      </c>
      <c r="P91" s="35" t="str">
        <f t="shared" si="4"/>
        <v>OK</v>
      </c>
      <c r="Q91" s="29" t="str">
        <f>LOGS!G91</f>
        <v xml:space="preserve"> Invalid import_id</v>
      </c>
      <c r="R91">
        <f>LOGS!H91</f>
        <v>1.916E-3</v>
      </c>
    </row>
    <row r="92" spans="1:18" x14ac:dyDescent="0.25">
      <c r="A92" s="13">
        <v>91</v>
      </c>
      <c r="B92" s="13">
        <v>1</v>
      </c>
      <c r="C92" s="13" t="str">
        <f>"R"&amp;VLOOKUP(D92,'Описание значений'!$B$4:$C$8,2,FALSE)&amp;"_G"&amp;F92&amp;"_N"&amp;TEXT(G92,"00")</f>
        <v>R04_G00t01_N01</v>
      </c>
      <c r="D92" s="15" t="s">
        <v>5</v>
      </c>
      <c r="E92" s="16" t="s">
        <v>23</v>
      </c>
      <c r="F92" s="16" t="s">
        <v>41</v>
      </c>
      <c r="G92" s="16">
        <v>1</v>
      </c>
      <c r="H92" s="13" t="str">
        <f>VLOOKUP(E92,'Описание значений'!$B$11:$C$18,2,FALSE)</f>
        <v>Верный запрос</v>
      </c>
      <c r="I92" s="13" t="str">
        <f>VLOOKUP(F92,'Описание значений'!$B$21:$C$39,2,FALSE)</f>
        <v>Верный запрос</v>
      </c>
      <c r="J92" s="17" t="s">
        <v>148</v>
      </c>
      <c r="K92" s="13">
        <v>0</v>
      </c>
      <c r="L92" s="13"/>
      <c r="M92" s="13" t="s">
        <v>166</v>
      </c>
      <c r="N92" s="17">
        <v>200</v>
      </c>
      <c r="O92" s="17">
        <f>LOGS!F92</f>
        <v>200</v>
      </c>
      <c r="P92" s="34" t="str">
        <f t="shared" si="4"/>
        <v>OK</v>
      </c>
      <c r="Q92" s="17" t="str">
        <f>LOGS!G92</f>
        <v xml:space="preserve"> longer than 300 symbols</v>
      </c>
      <c r="R92">
        <f>LOGS!H92</f>
        <v>8.8386000000000006E-2</v>
      </c>
    </row>
    <row r="93" spans="1:18" x14ac:dyDescent="0.25">
      <c r="A93" s="11">
        <v>92</v>
      </c>
      <c r="B93" s="11">
        <v>2</v>
      </c>
      <c r="C93" s="11" t="str">
        <f>"R"&amp;VLOOKUP(D93,'Описание значений'!$B$4:$C$8,2,FALSE)&amp;"_G"&amp;F93&amp;"_N"&amp;TEXT(G93,"00")</f>
        <v>R04_G06t01_N01</v>
      </c>
      <c r="D93" s="22" t="s">
        <v>5</v>
      </c>
      <c r="E93" s="23" t="s">
        <v>22</v>
      </c>
      <c r="F93" s="23" t="s">
        <v>98</v>
      </c>
      <c r="G93" s="22">
        <v>1</v>
      </c>
      <c r="H93" s="11" t="str">
        <f>VLOOKUP(E93,'Описание значений'!$B$11:$C$18,2,FALSE)</f>
        <v>Ошибка в строке запроса</v>
      </c>
      <c r="I93" s="11" t="str">
        <f>VLOOKUP(F93,'Описание значений'!$B$21:$C$39,2,FALSE)</f>
        <v>Отсутствует указанный import_id</v>
      </c>
      <c r="J93" s="29" t="s">
        <v>149</v>
      </c>
      <c r="K93" s="11">
        <v>0</v>
      </c>
      <c r="L93" s="11"/>
      <c r="M93" s="11" t="s">
        <v>167</v>
      </c>
      <c r="N93" s="29">
        <v>400</v>
      </c>
      <c r="O93" s="29">
        <f>LOGS!F93</f>
        <v>400</v>
      </c>
      <c r="P93" s="35" t="str">
        <f t="shared" si="4"/>
        <v>OK</v>
      </c>
      <c r="Q93" s="29" t="str">
        <f>LOGS!G93</f>
        <v xml:space="preserve"> Invalid import_id</v>
      </c>
      <c r="R93">
        <f>LOGS!H93</f>
        <v>1.817E-3</v>
      </c>
    </row>
    <row r="94" spans="1:18" x14ac:dyDescent="0.25">
      <c r="A94" s="12">
        <v>93</v>
      </c>
      <c r="B94" s="12">
        <v>1</v>
      </c>
      <c r="C94" s="12" t="str">
        <f>"R"&amp;VLOOKUP(D94,'Описание значений'!$B$4:$C$8,2,FALSE)&amp;"_G"&amp;F94&amp;"_N"&amp;TEXT(G94,"00")</f>
        <v>R05_G00t01_N01</v>
      </c>
      <c r="D94" s="24" t="s">
        <v>6</v>
      </c>
      <c r="E94" s="25" t="s">
        <v>23</v>
      </c>
      <c r="F94" s="25" t="s">
        <v>41</v>
      </c>
      <c r="G94" s="25">
        <v>1</v>
      </c>
      <c r="H94" s="12" t="str">
        <f>VLOOKUP(E94,'Описание значений'!$B$11:$C$18,2,FALSE)</f>
        <v>Верный запрос</v>
      </c>
      <c r="I94" s="12" t="str">
        <f>VLOOKUP(F94,'Описание значений'!$B$21:$C$39,2,FALSE)</f>
        <v>Верный запрос</v>
      </c>
      <c r="J94" s="26" t="s">
        <v>150</v>
      </c>
      <c r="K94" s="12">
        <v>0</v>
      </c>
      <c r="L94" s="12"/>
      <c r="M94" s="13" t="s">
        <v>168</v>
      </c>
      <c r="N94" s="26">
        <v>200</v>
      </c>
      <c r="O94" s="26">
        <f>LOGS!F94</f>
        <v>200</v>
      </c>
      <c r="P94" s="36" t="str">
        <f t="shared" si="4"/>
        <v>OK</v>
      </c>
      <c r="Q94" s="26" t="str">
        <f>LOGS!G94</f>
        <v xml:space="preserve"> longer than 300 symbols</v>
      </c>
      <c r="R94">
        <f>LOGS!H94</f>
        <v>3.3757000000000002E-2</v>
      </c>
    </row>
    <row r="95" spans="1:18" x14ac:dyDescent="0.25">
      <c r="A95" s="11">
        <v>94</v>
      </c>
      <c r="B95" s="11">
        <v>2</v>
      </c>
      <c r="C95" s="11" t="str">
        <f>"R"&amp;VLOOKUP(D95,'Описание значений'!$B$4:$C$8,2,FALSE)&amp;"_G"&amp;F95&amp;"_N"&amp;TEXT(G95,"00")</f>
        <v>R05_G06t01_N01</v>
      </c>
      <c r="D95" s="22" t="s">
        <v>6</v>
      </c>
      <c r="E95" s="23" t="s">
        <v>22</v>
      </c>
      <c r="F95" s="23" t="s">
        <v>98</v>
      </c>
      <c r="G95" s="22">
        <v>1</v>
      </c>
      <c r="H95" s="11" t="str">
        <f>VLOOKUP(E95,'Описание значений'!$B$11:$C$18,2,FALSE)</f>
        <v>Ошибка в строке запроса</v>
      </c>
      <c r="I95" s="11" t="str">
        <f>VLOOKUP(F95,'Описание значений'!$B$21:$C$39,2,FALSE)</f>
        <v>Отсутствует указанный import_id</v>
      </c>
      <c r="J95" s="29" t="s">
        <v>151</v>
      </c>
      <c r="K95" s="11">
        <v>0</v>
      </c>
      <c r="L95" s="11"/>
      <c r="M95" s="11" t="s">
        <v>169</v>
      </c>
      <c r="N95" s="29">
        <v>400</v>
      </c>
      <c r="O95" s="29">
        <f>LOGS!F95</f>
        <v>400</v>
      </c>
      <c r="P95" s="35" t="str">
        <f t="shared" si="4"/>
        <v>OK</v>
      </c>
      <c r="Q95" s="29" t="str">
        <f>LOGS!G95</f>
        <v xml:space="preserve"> Invalid import_id</v>
      </c>
      <c r="R95">
        <f>LOGS!H95</f>
        <v>1.8010000000000001E-3</v>
      </c>
    </row>
  </sheetData>
  <autoFilter ref="A1:R1"/>
  <conditionalFormatting sqref="R8:R95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{C0F9913A-42D2-4EC9-A3B0-C951A217820B}</x14:id>
        </ext>
      </extLst>
    </cfRule>
  </conditionalFormatting>
  <conditionalFormatting sqref="R2:R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{027D399E-C552-474A-AF36-1BB9FE2DF84A}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F9913A-42D2-4EC9-A3B0-C951A21782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R8:R95</xm:sqref>
        </x14:conditionalFormatting>
        <x14:conditionalFormatting xmlns:xm="http://schemas.microsoft.com/office/excel/2006/main">
          <x14:cfRule type="dataBar" id="{027D399E-C552-474A-AF36-1BB9FE2DF8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R2:R7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5"/>
  <sheetViews>
    <sheetView zoomScale="70" zoomScaleNormal="70" workbookViewId="0"/>
  </sheetViews>
  <sheetFormatPr defaultRowHeight="15" x14ac:dyDescent="0.25"/>
  <cols>
    <col min="2" max="2" width="31.85546875" customWidth="1"/>
    <col min="3" max="3" width="66.85546875" customWidth="1"/>
    <col min="4" max="4" width="31" customWidth="1"/>
    <col min="5" max="5" width="16.28515625" customWidth="1"/>
    <col min="6" max="6" width="20" customWidth="1"/>
    <col min="7" max="7" width="81" customWidth="1"/>
    <col min="8" max="8" width="21.85546875" customWidth="1"/>
  </cols>
  <sheetData>
    <row r="1" spans="1:16" s="1" customFormat="1" ht="36" customHeight="1" x14ac:dyDescent="0.25">
      <c r="A1" s="1" t="s">
        <v>16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280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</row>
    <row r="2" spans="1:16" x14ac:dyDescent="0.25">
      <c r="A2">
        <v>1</v>
      </c>
      <c r="B2" t="s">
        <v>308</v>
      </c>
      <c r="C2" t="s">
        <v>176</v>
      </c>
      <c r="D2" t="s">
        <v>309</v>
      </c>
      <c r="E2" t="s">
        <v>310</v>
      </c>
      <c r="F2">
        <v>201</v>
      </c>
      <c r="G2" t="s">
        <v>177</v>
      </c>
      <c r="H2">
        <f>SUBSTITUTE(MID(E2,7,10),".",",")+0</f>
        <v>3.5671000000000001E-2</v>
      </c>
      <c r="K2" t="s">
        <v>308</v>
      </c>
      <c r="L2" t="s">
        <v>176</v>
      </c>
      <c r="M2" t="s">
        <v>309</v>
      </c>
      <c r="N2" t="s">
        <v>310</v>
      </c>
      <c r="O2">
        <v>201</v>
      </c>
      <c r="P2" t="s">
        <v>177</v>
      </c>
    </row>
    <row r="3" spans="1:16" x14ac:dyDescent="0.25">
      <c r="A3">
        <v>2</v>
      </c>
      <c r="B3" t="s">
        <v>311</v>
      </c>
      <c r="C3" t="s">
        <v>176</v>
      </c>
      <c r="D3" t="s">
        <v>312</v>
      </c>
      <c r="E3" t="s">
        <v>313</v>
      </c>
      <c r="F3">
        <v>201</v>
      </c>
      <c r="G3" t="s">
        <v>178</v>
      </c>
      <c r="H3">
        <f t="shared" ref="H3:H66" si="0">SUBSTITUTE(MID(E3,7,10),".",",")+0</f>
        <v>4.3360000000000003E-2</v>
      </c>
      <c r="K3" t="s">
        <v>311</v>
      </c>
      <c r="L3" t="s">
        <v>176</v>
      </c>
      <c r="M3" t="s">
        <v>312</v>
      </c>
      <c r="N3" t="s">
        <v>313</v>
      </c>
      <c r="O3">
        <v>201</v>
      </c>
      <c r="P3" t="s">
        <v>178</v>
      </c>
    </row>
    <row r="4" spans="1:16" x14ac:dyDescent="0.25">
      <c r="A4">
        <v>3</v>
      </c>
      <c r="B4" t="s">
        <v>314</v>
      </c>
      <c r="C4" t="s">
        <v>176</v>
      </c>
      <c r="D4" t="s">
        <v>315</v>
      </c>
      <c r="E4" t="s">
        <v>316</v>
      </c>
      <c r="F4">
        <v>201</v>
      </c>
      <c r="G4" t="s">
        <v>179</v>
      </c>
      <c r="H4">
        <f t="shared" si="0"/>
        <v>6.8024000000000001E-2</v>
      </c>
      <c r="K4" t="s">
        <v>314</v>
      </c>
      <c r="L4" t="s">
        <v>176</v>
      </c>
      <c r="M4" t="s">
        <v>315</v>
      </c>
      <c r="N4" t="s">
        <v>316</v>
      </c>
      <c r="O4">
        <v>201</v>
      </c>
      <c r="P4" t="s">
        <v>179</v>
      </c>
    </row>
    <row r="5" spans="1:16" x14ac:dyDescent="0.25">
      <c r="A5">
        <v>4</v>
      </c>
      <c r="B5" t="s">
        <v>317</v>
      </c>
      <c r="C5" t="s">
        <v>176</v>
      </c>
      <c r="D5" t="s">
        <v>318</v>
      </c>
      <c r="E5" t="s">
        <v>319</v>
      </c>
      <c r="F5">
        <v>201</v>
      </c>
      <c r="G5" t="s">
        <v>180</v>
      </c>
      <c r="H5">
        <f t="shared" si="0"/>
        <v>0.135905</v>
      </c>
      <c r="K5" t="s">
        <v>317</v>
      </c>
      <c r="L5" t="s">
        <v>176</v>
      </c>
      <c r="M5" t="s">
        <v>318</v>
      </c>
      <c r="N5" t="s">
        <v>319</v>
      </c>
      <c r="O5">
        <v>201</v>
      </c>
      <c r="P5" t="s">
        <v>180</v>
      </c>
    </row>
    <row r="6" spans="1:16" x14ac:dyDescent="0.25">
      <c r="A6">
        <v>5</v>
      </c>
      <c r="B6" t="s">
        <v>320</v>
      </c>
      <c r="C6" t="s">
        <v>176</v>
      </c>
      <c r="D6" t="s">
        <v>321</v>
      </c>
      <c r="E6" t="s">
        <v>322</v>
      </c>
      <c r="F6">
        <v>201</v>
      </c>
      <c r="G6" t="s">
        <v>181</v>
      </c>
      <c r="H6">
        <f t="shared" si="0"/>
        <v>0.76059600000000005</v>
      </c>
      <c r="K6" t="s">
        <v>320</v>
      </c>
      <c r="L6" t="s">
        <v>176</v>
      </c>
      <c r="M6" t="s">
        <v>321</v>
      </c>
      <c r="N6" t="s">
        <v>322</v>
      </c>
      <c r="O6">
        <v>201</v>
      </c>
      <c r="P6" t="s">
        <v>181</v>
      </c>
    </row>
    <row r="7" spans="1:16" x14ac:dyDescent="0.25">
      <c r="A7">
        <v>6</v>
      </c>
      <c r="B7" t="s">
        <v>323</v>
      </c>
      <c r="C7" t="s">
        <v>176</v>
      </c>
      <c r="D7" t="s">
        <v>324</v>
      </c>
      <c r="E7" t="s">
        <v>325</v>
      </c>
      <c r="F7">
        <v>201</v>
      </c>
      <c r="G7" t="s">
        <v>182</v>
      </c>
      <c r="H7">
        <f t="shared" si="0"/>
        <v>3.3115169999999998</v>
      </c>
      <c r="K7" t="s">
        <v>323</v>
      </c>
      <c r="L7" t="s">
        <v>176</v>
      </c>
      <c r="M7" t="s">
        <v>324</v>
      </c>
      <c r="N7" t="s">
        <v>325</v>
      </c>
      <c r="O7">
        <v>201</v>
      </c>
      <c r="P7" t="s">
        <v>182</v>
      </c>
    </row>
    <row r="8" spans="1:16" x14ac:dyDescent="0.25">
      <c r="A8">
        <v>7</v>
      </c>
      <c r="B8" t="s">
        <v>326</v>
      </c>
      <c r="C8" t="s">
        <v>176</v>
      </c>
      <c r="D8" t="s">
        <v>327</v>
      </c>
      <c r="E8" t="s">
        <v>328</v>
      </c>
      <c r="F8">
        <v>400</v>
      </c>
      <c r="G8" t="s">
        <v>183</v>
      </c>
      <c r="H8">
        <f t="shared" si="0"/>
        <v>1.024E-3</v>
      </c>
      <c r="K8" t="s">
        <v>326</v>
      </c>
      <c r="L8" t="s">
        <v>176</v>
      </c>
      <c r="M8" t="s">
        <v>327</v>
      </c>
      <c r="N8" t="s">
        <v>328</v>
      </c>
      <c r="O8">
        <v>400</v>
      </c>
      <c r="P8" t="s">
        <v>183</v>
      </c>
    </row>
    <row r="9" spans="1:16" x14ac:dyDescent="0.25">
      <c r="A9">
        <v>8</v>
      </c>
      <c r="B9" t="s">
        <v>329</v>
      </c>
      <c r="C9" t="s">
        <v>176</v>
      </c>
      <c r="D9" t="s">
        <v>330</v>
      </c>
      <c r="E9" t="s">
        <v>331</v>
      </c>
      <c r="F9">
        <v>400</v>
      </c>
      <c r="G9" t="s">
        <v>183</v>
      </c>
      <c r="H9">
        <f t="shared" si="0"/>
        <v>7.94E-4</v>
      </c>
      <c r="K9" t="s">
        <v>329</v>
      </c>
      <c r="L9" t="s">
        <v>176</v>
      </c>
      <c r="M9" t="s">
        <v>330</v>
      </c>
      <c r="N9" t="s">
        <v>331</v>
      </c>
      <c r="O9">
        <v>400</v>
      </c>
      <c r="P9" t="s">
        <v>183</v>
      </c>
    </row>
    <row r="10" spans="1:16" x14ac:dyDescent="0.25">
      <c r="A10">
        <v>9</v>
      </c>
      <c r="B10" t="s">
        <v>332</v>
      </c>
      <c r="C10" t="s">
        <v>176</v>
      </c>
      <c r="D10" t="s">
        <v>333</v>
      </c>
      <c r="E10" t="s">
        <v>334</v>
      </c>
      <c r="F10">
        <v>400</v>
      </c>
      <c r="G10" t="s">
        <v>183</v>
      </c>
      <c r="H10">
        <f t="shared" si="0"/>
        <v>9.9700000000000006E-4</v>
      </c>
      <c r="K10" t="s">
        <v>332</v>
      </c>
      <c r="L10" t="s">
        <v>176</v>
      </c>
      <c r="M10" t="s">
        <v>333</v>
      </c>
      <c r="N10" t="s">
        <v>334</v>
      </c>
      <c r="O10">
        <v>400</v>
      </c>
      <c r="P10" t="s">
        <v>183</v>
      </c>
    </row>
    <row r="11" spans="1:16" x14ac:dyDescent="0.25">
      <c r="A11">
        <v>10</v>
      </c>
      <c r="B11" t="s">
        <v>335</v>
      </c>
      <c r="C11" t="s">
        <v>176</v>
      </c>
      <c r="D11" t="s">
        <v>336</v>
      </c>
      <c r="E11" t="s">
        <v>337</v>
      </c>
      <c r="F11">
        <v>400</v>
      </c>
      <c r="G11" t="s">
        <v>184</v>
      </c>
      <c r="H11">
        <f t="shared" si="0"/>
        <v>1.0139999999999999E-3</v>
      </c>
      <c r="K11" t="s">
        <v>335</v>
      </c>
      <c r="L11" t="s">
        <v>176</v>
      </c>
      <c r="M11" t="s">
        <v>336</v>
      </c>
      <c r="N11" t="s">
        <v>337</v>
      </c>
      <c r="O11">
        <v>400</v>
      </c>
      <c r="P11" t="s">
        <v>184</v>
      </c>
    </row>
    <row r="12" spans="1:16" x14ac:dyDescent="0.25">
      <c r="A12">
        <v>11</v>
      </c>
      <c r="B12" t="s">
        <v>338</v>
      </c>
      <c r="C12" t="s">
        <v>176</v>
      </c>
      <c r="D12" t="s">
        <v>339</v>
      </c>
      <c r="E12" t="s">
        <v>340</v>
      </c>
      <c r="F12">
        <v>400</v>
      </c>
      <c r="G12" t="s">
        <v>185</v>
      </c>
      <c r="H12">
        <f t="shared" si="0"/>
        <v>1.191E-3</v>
      </c>
      <c r="K12" t="s">
        <v>338</v>
      </c>
      <c r="L12" t="s">
        <v>176</v>
      </c>
      <c r="M12" t="s">
        <v>339</v>
      </c>
      <c r="N12" t="s">
        <v>340</v>
      </c>
      <c r="O12">
        <v>400</v>
      </c>
      <c r="P12" t="s">
        <v>185</v>
      </c>
    </row>
    <row r="13" spans="1:16" x14ac:dyDescent="0.25">
      <c r="A13">
        <v>12</v>
      </c>
      <c r="B13" t="s">
        <v>341</v>
      </c>
      <c r="C13" t="s">
        <v>176</v>
      </c>
      <c r="D13" t="s">
        <v>342</v>
      </c>
      <c r="E13" t="s">
        <v>343</v>
      </c>
      <c r="F13">
        <v>400</v>
      </c>
      <c r="G13" t="s">
        <v>186</v>
      </c>
      <c r="H13">
        <f t="shared" si="0"/>
        <v>1.152E-3</v>
      </c>
      <c r="K13" t="s">
        <v>341</v>
      </c>
      <c r="L13" t="s">
        <v>176</v>
      </c>
      <c r="M13" t="s">
        <v>342</v>
      </c>
      <c r="N13" t="s">
        <v>343</v>
      </c>
      <c r="O13">
        <v>400</v>
      </c>
      <c r="P13" t="s">
        <v>186</v>
      </c>
    </row>
    <row r="14" spans="1:16" x14ac:dyDescent="0.25">
      <c r="A14">
        <v>13</v>
      </c>
      <c r="B14" t="s">
        <v>344</v>
      </c>
      <c r="C14" t="s">
        <v>176</v>
      </c>
      <c r="D14" t="s">
        <v>345</v>
      </c>
      <c r="E14" t="s">
        <v>346</v>
      </c>
      <c r="F14">
        <v>400</v>
      </c>
      <c r="G14" t="s">
        <v>186</v>
      </c>
      <c r="H14">
        <f t="shared" si="0"/>
        <v>9.01E-4</v>
      </c>
      <c r="K14" t="s">
        <v>344</v>
      </c>
      <c r="L14" t="s">
        <v>176</v>
      </c>
      <c r="M14" t="s">
        <v>345</v>
      </c>
      <c r="N14" t="s">
        <v>346</v>
      </c>
      <c r="O14">
        <v>400</v>
      </c>
      <c r="P14" t="s">
        <v>186</v>
      </c>
    </row>
    <row r="15" spans="1:16" x14ac:dyDescent="0.25">
      <c r="A15">
        <v>14</v>
      </c>
      <c r="B15" t="s">
        <v>347</v>
      </c>
      <c r="C15" t="s">
        <v>176</v>
      </c>
      <c r="D15" t="s">
        <v>348</v>
      </c>
      <c r="E15" t="s">
        <v>349</v>
      </c>
      <c r="F15">
        <v>400</v>
      </c>
      <c r="G15" t="s">
        <v>187</v>
      </c>
      <c r="H15">
        <f t="shared" si="0"/>
        <v>1.1119999999999999E-3</v>
      </c>
      <c r="K15" t="s">
        <v>347</v>
      </c>
      <c r="L15" t="s">
        <v>176</v>
      </c>
      <c r="M15" t="s">
        <v>348</v>
      </c>
      <c r="N15" t="s">
        <v>349</v>
      </c>
      <c r="O15">
        <v>400</v>
      </c>
      <c r="P15" t="s">
        <v>187</v>
      </c>
    </row>
    <row r="16" spans="1:16" x14ac:dyDescent="0.25">
      <c r="A16">
        <v>15</v>
      </c>
      <c r="B16" t="s">
        <v>350</v>
      </c>
      <c r="C16" t="s">
        <v>176</v>
      </c>
      <c r="D16" t="s">
        <v>351</v>
      </c>
      <c r="E16" t="s">
        <v>352</v>
      </c>
      <c r="F16">
        <v>400</v>
      </c>
      <c r="G16" t="s">
        <v>188</v>
      </c>
      <c r="H16">
        <f t="shared" si="0"/>
        <v>1.1379999999999999E-3</v>
      </c>
      <c r="K16" t="s">
        <v>350</v>
      </c>
      <c r="L16" t="s">
        <v>176</v>
      </c>
      <c r="M16" t="s">
        <v>351</v>
      </c>
      <c r="N16" t="s">
        <v>352</v>
      </c>
      <c r="O16">
        <v>400</v>
      </c>
      <c r="P16" t="s">
        <v>188</v>
      </c>
    </row>
    <row r="17" spans="1:16" x14ac:dyDescent="0.25">
      <c r="A17">
        <v>16</v>
      </c>
      <c r="B17" t="s">
        <v>353</v>
      </c>
      <c r="C17" t="s">
        <v>176</v>
      </c>
      <c r="D17" t="s">
        <v>354</v>
      </c>
      <c r="E17" t="s">
        <v>355</v>
      </c>
      <c r="F17">
        <v>400</v>
      </c>
      <c r="G17" t="s">
        <v>189</v>
      </c>
      <c r="H17">
        <f t="shared" si="0"/>
        <v>9.8999999999999999E-4</v>
      </c>
      <c r="K17" t="s">
        <v>353</v>
      </c>
      <c r="L17" t="s">
        <v>176</v>
      </c>
      <c r="M17" t="s">
        <v>354</v>
      </c>
      <c r="N17" t="s">
        <v>355</v>
      </c>
      <c r="O17">
        <v>400</v>
      </c>
      <c r="P17" t="s">
        <v>189</v>
      </c>
    </row>
    <row r="18" spans="1:16" x14ac:dyDescent="0.25">
      <c r="A18">
        <v>17</v>
      </c>
      <c r="B18" t="s">
        <v>356</v>
      </c>
      <c r="C18" t="s">
        <v>176</v>
      </c>
      <c r="D18" t="s">
        <v>357</v>
      </c>
      <c r="E18" t="s">
        <v>358</v>
      </c>
      <c r="F18">
        <v>400</v>
      </c>
      <c r="G18" t="s">
        <v>190</v>
      </c>
      <c r="H18">
        <f t="shared" si="0"/>
        <v>1.2080000000000001E-3</v>
      </c>
      <c r="K18" t="s">
        <v>356</v>
      </c>
      <c r="L18" t="s">
        <v>176</v>
      </c>
      <c r="M18" t="s">
        <v>357</v>
      </c>
      <c r="N18" t="s">
        <v>358</v>
      </c>
      <c r="O18">
        <v>400</v>
      </c>
      <c r="P18" t="s">
        <v>190</v>
      </c>
    </row>
    <row r="19" spans="1:16" x14ac:dyDescent="0.25">
      <c r="A19">
        <v>18</v>
      </c>
      <c r="B19" t="s">
        <v>359</v>
      </c>
      <c r="C19" t="s">
        <v>176</v>
      </c>
      <c r="D19" t="s">
        <v>360</v>
      </c>
      <c r="E19" t="s">
        <v>361</v>
      </c>
      <c r="F19">
        <v>400</v>
      </c>
      <c r="G19" t="s">
        <v>191</v>
      </c>
      <c r="H19">
        <f t="shared" si="0"/>
        <v>1.2160000000000001E-3</v>
      </c>
      <c r="K19" t="s">
        <v>359</v>
      </c>
      <c r="L19" t="s">
        <v>176</v>
      </c>
      <c r="M19" t="s">
        <v>360</v>
      </c>
      <c r="N19" t="s">
        <v>361</v>
      </c>
      <c r="O19">
        <v>400</v>
      </c>
      <c r="P19" t="s">
        <v>191</v>
      </c>
    </row>
    <row r="20" spans="1:16" x14ac:dyDescent="0.25">
      <c r="A20">
        <v>19</v>
      </c>
      <c r="B20" t="s">
        <v>362</v>
      </c>
      <c r="C20" t="s">
        <v>176</v>
      </c>
      <c r="D20" t="s">
        <v>363</v>
      </c>
      <c r="E20" t="s">
        <v>364</v>
      </c>
      <c r="F20">
        <v>400</v>
      </c>
      <c r="G20" t="s">
        <v>192</v>
      </c>
      <c r="H20">
        <f t="shared" si="0"/>
        <v>1.23E-3</v>
      </c>
      <c r="K20" t="s">
        <v>362</v>
      </c>
      <c r="L20" t="s">
        <v>176</v>
      </c>
      <c r="M20" t="s">
        <v>363</v>
      </c>
      <c r="N20" t="s">
        <v>364</v>
      </c>
      <c r="O20">
        <v>400</v>
      </c>
      <c r="P20" t="s">
        <v>192</v>
      </c>
    </row>
    <row r="21" spans="1:16" x14ac:dyDescent="0.25">
      <c r="A21">
        <v>20</v>
      </c>
      <c r="B21" t="s">
        <v>365</v>
      </c>
      <c r="C21" t="s">
        <v>176</v>
      </c>
      <c r="D21" t="s">
        <v>366</v>
      </c>
      <c r="E21" t="s">
        <v>367</v>
      </c>
      <c r="F21">
        <v>400</v>
      </c>
      <c r="G21" t="s">
        <v>193</v>
      </c>
      <c r="H21">
        <f t="shared" si="0"/>
        <v>1.062E-3</v>
      </c>
      <c r="K21" t="s">
        <v>365</v>
      </c>
      <c r="L21" t="s">
        <v>176</v>
      </c>
      <c r="M21" t="s">
        <v>366</v>
      </c>
      <c r="N21" t="s">
        <v>367</v>
      </c>
      <c r="O21">
        <v>400</v>
      </c>
      <c r="P21" t="s">
        <v>193</v>
      </c>
    </row>
    <row r="22" spans="1:16" x14ac:dyDescent="0.25">
      <c r="A22">
        <v>21</v>
      </c>
      <c r="B22" t="s">
        <v>368</v>
      </c>
      <c r="C22" t="s">
        <v>176</v>
      </c>
      <c r="D22" t="s">
        <v>369</v>
      </c>
      <c r="E22" t="s">
        <v>370</v>
      </c>
      <c r="F22">
        <v>400</v>
      </c>
      <c r="G22" t="s">
        <v>194</v>
      </c>
      <c r="H22">
        <f t="shared" si="0"/>
        <v>1.0280000000000001E-3</v>
      </c>
      <c r="K22" t="s">
        <v>368</v>
      </c>
      <c r="L22" t="s">
        <v>176</v>
      </c>
      <c r="M22" t="s">
        <v>369</v>
      </c>
      <c r="N22" t="s">
        <v>370</v>
      </c>
      <c r="O22">
        <v>400</v>
      </c>
      <c r="P22" t="s">
        <v>194</v>
      </c>
    </row>
    <row r="23" spans="1:16" x14ac:dyDescent="0.25">
      <c r="A23">
        <v>22</v>
      </c>
      <c r="B23" t="s">
        <v>371</v>
      </c>
      <c r="C23" t="s">
        <v>176</v>
      </c>
      <c r="D23" t="s">
        <v>372</v>
      </c>
      <c r="E23" t="s">
        <v>373</v>
      </c>
      <c r="F23">
        <v>400</v>
      </c>
      <c r="G23" t="s">
        <v>195</v>
      </c>
      <c r="H23">
        <f t="shared" si="0"/>
        <v>9.2199999999999997E-4</v>
      </c>
      <c r="K23" t="s">
        <v>371</v>
      </c>
      <c r="L23" t="s">
        <v>176</v>
      </c>
      <c r="M23" t="s">
        <v>372</v>
      </c>
      <c r="N23" t="s">
        <v>373</v>
      </c>
      <c r="O23">
        <v>400</v>
      </c>
      <c r="P23" t="s">
        <v>195</v>
      </c>
    </row>
    <row r="24" spans="1:16" x14ac:dyDescent="0.25">
      <c r="A24">
        <v>23</v>
      </c>
      <c r="B24" t="s">
        <v>374</v>
      </c>
      <c r="C24" t="s">
        <v>176</v>
      </c>
      <c r="D24" t="s">
        <v>375</v>
      </c>
      <c r="E24" t="s">
        <v>376</v>
      </c>
      <c r="F24">
        <v>400</v>
      </c>
      <c r="G24" t="s">
        <v>194</v>
      </c>
      <c r="H24">
        <f t="shared" si="0"/>
        <v>1.1659999999999999E-3</v>
      </c>
      <c r="K24" t="s">
        <v>374</v>
      </c>
      <c r="L24" t="s">
        <v>176</v>
      </c>
      <c r="M24" t="s">
        <v>375</v>
      </c>
      <c r="N24" t="s">
        <v>376</v>
      </c>
      <c r="O24">
        <v>400</v>
      </c>
      <c r="P24" t="s">
        <v>194</v>
      </c>
    </row>
    <row r="25" spans="1:16" x14ac:dyDescent="0.25">
      <c r="A25">
        <v>24</v>
      </c>
      <c r="B25" t="s">
        <v>377</v>
      </c>
      <c r="C25" t="s">
        <v>176</v>
      </c>
      <c r="D25" t="s">
        <v>378</v>
      </c>
      <c r="E25" t="s">
        <v>379</v>
      </c>
      <c r="F25">
        <v>400</v>
      </c>
      <c r="G25" t="s">
        <v>189</v>
      </c>
      <c r="H25">
        <f t="shared" si="0"/>
        <v>1.1720000000000001E-3</v>
      </c>
      <c r="K25" t="s">
        <v>377</v>
      </c>
      <c r="L25" t="s">
        <v>176</v>
      </c>
      <c r="M25" t="s">
        <v>378</v>
      </c>
      <c r="N25" t="s">
        <v>379</v>
      </c>
      <c r="O25">
        <v>400</v>
      </c>
      <c r="P25" t="s">
        <v>189</v>
      </c>
    </row>
    <row r="26" spans="1:16" x14ac:dyDescent="0.25">
      <c r="A26">
        <v>25</v>
      </c>
      <c r="B26" t="s">
        <v>380</v>
      </c>
      <c r="C26" t="s">
        <v>176</v>
      </c>
      <c r="D26" t="s">
        <v>381</v>
      </c>
      <c r="E26" t="s">
        <v>382</v>
      </c>
      <c r="F26">
        <v>400</v>
      </c>
      <c r="G26" t="s">
        <v>189</v>
      </c>
      <c r="H26">
        <f t="shared" si="0"/>
        <v>1.194E-3</v>
      </c>
      <c r="K26" t="s">
        <v>380</v>
      </c>
      <c r="L26" t="s">
        <v>176</v>
      </c>
      <c r="M26" t="s">
        <v>381</v>
      </c>
      <c r="N26" t="s">
        <v>382</v>
      </c>
      <c r="O26">
        <v>400</v>
      </c>
      <c r="P26" t="s">
        <v>189</v>
      </c>
    </row>
    <row r="27" spans="1:16" x14ac:dyDescent="0.25">
      <c r="A27">
        <v>26</v>
      </c>
      <c r="B27" t="s">
        <v>383</v>
      </c>
      <c r="C27" t="s">
        <v>176</v>
      </c>
      <c r="D27" t="s">
        <v>384</v>
      </c>
      <c r="E27" t="s">
        <v>385</v>
      </c>
      <c r="F27">
        <v>400</v>
      </c>
      <c r="G27" t="s">
        <v>191</v>
      </c>
      <c r="H27">
        <f t="shared" si="0"/>
        <v>9.7599999999999998E-4</v>
      </c>
      <c r="K27" t="s">
        <v>383</v>
      </c>
      <c r="L27" t="s">
        <v>176</v>
      </c>
      <c r="M27" t="s">
        <v>384</v>
      </c>
      <c r="N27" t="s">
        <v>385</v>
      </c>
      <c r="O27">
        <v>400</v>
      </c>
      <c r="P27" t="s">
        <v>191</v>
      </c>
    </row>
    <row r="28" spans="1:16" x14ac:dyDescent="0.25">
      <c r="A28">
        <v>27</v>
      </c>
      <c r="B28" t="s">
        <v>386</v>
      </c>
      <c r="C28" t="s">
        <v>176</v>
      </c>
      <c r="D28" t="s">
        <v>387</v>
      </c>
      <c r="E28" t="s">
        <v>388</v>
      </c>
      <c r="F28">
        <v>400</v>
      </c>
      <c r="G28" t="s">
        <v>191</v>
      </c>
      <c r="H28">
        <f t="shared" si="0"/>
        <v>1.1900000000000001E-3</v>
      </c>
      <c r="K28" t="s">
        <v>386</v>
      </c>
      <c r="L28" t="s">
        <v>176</v>
      </c>
      <c r="M28" t="s">
        <v>387</v>
      </c>
      <c r="N28" t="s">
        <v>388</v>
      </c>
      <c r="O28">
        <v>400</v>
      </c>
      <c r="P28" t="s">
        <v>191</v>
      </c>
    </row>
    <row r="29" spans="1:16" x14ac:dyDescent="0.25">
      <c r="A29">
        <v>28</v>
      </c>
      <c r="B29" t="s">
        <v>389</v>
      </c>
      <c r="C29" t="s">
        <v>176</v>
      </c>
      <c r="D29" t="s">
        <v>390</v>
      </c>
      <c r="E29" t="s">
        <v>391</v>
      </c>
      <c r="F29">
        <v>400</v>
      </c>
      <c r="G29" t="s">
        <v>194</v>
      </c>
      <c r="H29">
        <f t="shared" si="0"/>
        <v>1.2329999999999999E-3</v>
      </c>
      <c r="K29" t="s">
        <v>389</v>
      </c>
      <c r="L29" t="s">
        <v>176</v>
      </c>
      <c r="M29" t="s">
        <v>390</v>
      </c>
      <c r="N29" t="s">
        <v>391</v>
      </c>
      <c r="O29">
        <v>400</v>
      </c>
      <c r="P29" t="s">
        <v>194</v>
      </c>
    </row>
    <row r="30" spans="1:16" x14ac:dyDescent="0.25">
      <c r="A30">
        <v>29</v>
      </c>
      <c r="B30" t="s">
        <v>392</v>
      </c>
      <c r="C30" t="s">
        <v>176</v>
      </c>
      <c r="D30" t="s">
        <v>393</v>
      </c>
      <c r="E30" t="s">
        <v>394</v>
      </c>
      <c r="F30">
        <v>400</v>
      </c>
      <c r="G30" t="s">
        <v>193</v>
      </c>
      <c r="H30">
        <f t="shared" si="0"/>
        <v>9.7799999999999992E-4</v>
      </c>
      <c r="K30" t="s">
        <v>392</v>
      </c>
      <c r="L30" t="s">
        <v>176</v>
      </c>
      <c r="M30" t="s">
        <v>393</v>
      </c>
      <c r="N30" t="s">
        <v>394</v>
      </c>
      <c r="O30">
        <v>400</v>
      </c>
      <c r="P30" t="s">
        <v>193</v>
      </c>
    </row>
    <row r="31" spans="1:16" x14ac:dyDescent="0.25">
      <c r="A31">
        <v>30</v>
      </c>
      <c r="B31" t="s">
        <v>395</v>
      </c>
      <c r="C31" t="s">
        <v>176</v>
      </c>
      <c r="D31" t="s">
        <v>396</v>
      </c>
      <c r="E31" t="s">
        <v>397</v>
      </c>
      <c r="F31">
        <v>400</v>
      </c>
      <c r="G31" t="s">
        <v>196</v>
      </c>
      <c r="H31">
        <f t="shared" si="0"/>
        <v>1.3669999999999999E-3</v>
      </c>
      <c r="K31" t="s">
        <v>395</v>
      </c>
      <c r="L31" t="s">
        <v>176</v>
      </c>
      <c r="M31" t="s">
        <v>396</v>
      </c>
      <c r="N31" t="s">
        <v>397</v>
      </c>
      <c r="O31">
        <v>400</v>
      </c>
      <c r="P31" t="s">
        <v>196</v>
      </c>
    </row>
    <row r="32" spans="1:16" x14ac:dyDescent="0.25">
      <c r="A32">
        <v>31</v>
      </c>
      <c r="B32" t="s">
        <v>398</v>
      </c>
      <c r="C32" t="s">
        <v>176</v>
      </c>
      <c r="D32" t="s">
        <v>399</v>
      </c>
      <c r="E32" t="s">
        <v>400</v>
      </c>
      <c r="F32">
        <v>400</v>
      </c>
      <c r="G32" t="s">
        <v>196</v>
      </c>
      <c r="H32">
        <f t="shared" si="0"/>
        <v>1.013E-3</v>
      </c>
      <c r="K32" t="s">
        <v>398</v>
      </c>
      <c r="L32" t="s">
        <v>176</v>
      </c>
      <c r="M32" t="s">
        <v>399</v>
      </c>
      <c r="N32" t="s">
        <v>400</v>
      </c>
      <c r="O32">
        <v>400</v>
      </c>
      <c r="P32" t="s">
        <v>196</v>
      </c>
    </row>
    <row r="33" spans="1:16" x14ac:dyDescent="0.25">
      <c r="A33">
        <v>32</v>
      </c>
      <c r="B33" t="s">
        <v>401</v>
      </c>
      <c r="C33" t="s">
        <v>176</v>
      </c>
      <c r="D33" t="s">
        <v>402</v>
      </c>
      <c r="E33" t="s">
        <v>403</v>
      </c>
      <c r="F33">
        <v>400</v>
      </c>
      <c r="G33" t="s">
        <v>196</v>
      </c>
      <c r="H33">
        <f t="shared" si="0"/>
        <v>9.9099999999999991E-4</v>
      </c>
      <c r="K33" t="s">
        <v>401</v>
      </c>
      <c r="L33" t="s">
        <v>176</v>
      </c>
      <c r="M33" t="s">
        <v>402</v>
      </c>
      <c r="N33" t="s">
        <v>403</v>
      </c>
      <c r="O33">
        <v>400</v>
      </c>
      <c r="P33" t="s">
        <v>196</v>
      </c>
    </row>
    <row r="34" spans="1:16" x14ac:dyDescent="0.25">
      <c r="A34">
        <v>33</v>
      </c>
      <c r="B34" t="s">
        <v>404</v>
      </c>
      <c r="C34" t="s">
        <v>176</v>
      </c>
      <c r="D34" t="s">
        <v>405</v>
      </c>
      <c r="E34" t="s">
        <v>406</v>
      </c>
      <c r="F34">
        <v>400</v>
      </c>
      <c r="G34" t="s">
        <v>196</v>
      </c>
      <c r="H34">
        <f t="shared" si="0"/>
        <v>1.3270000000000001E-3</v>
      </c>
      <c r="K34" t="s">
        <v>404</v>
      </c>
      <c r="L34" t="s">
        <v>176</v>
      </c>
      <c r="M34" t="s">
        <v>405</v>
      </c>
      <c r="N34" t="s">
        <v>406</v>
      </c>
      <c r="O34">
        <v>400</v>
      </c>
      <c r="P34" t="s">
        <v>196</v>
      </c>
    </row>
    <row r="35" spans="1:16" x14ac:dyDescent="0.25">
      <c r="A35">
        <v>34</v>
      </c>
      <c r="B35" t="s">
        <v>407</v>
      </c>
      <c r="C35" t="s">
        <v>176</v>
      </c>
      <c r="D35" t="s">
        <v>408</v>
      </c>
      <c r="E35" t="s">
        <v>409</v>
      </c>
      <c r="F35">
        <v>400</v>
      </c>
      <c r="G35" t="s">
        <v>197</v>
      </c>
      <c r="H35">
        <f t="shared" si="0"/>
        <v>1.379E-3</v>
      </c>
      <c r="K35" t="s">
        <v>407</v>
      </c>
      <c r="L35" t="s">
        <v>176</v>
      </c>
      <c r="M35" t="s">
        <v>408</v>
      </c>
      <c r="N35" t="s">
        <v>409</v>
      </c>
      <c r="O35">
        <v>400</v>
      </c>
      <c r="P35" t="s">
        <v>197</v>
      </c>
    </row>
    <row r="36" spans="1:16" x14ac:dyDescent="0.25">
      <c r="A36">
        <v>35</v>
      </c>
      <c r="B36" t="s">
        <v>410</v>
      </c>
      <c r="C36" t="s">
        <v>176</v>
      </c>
      <c r="D36" t="s">
        <v>411</v>
      </c>
      <c r="E36" t="s">
        <v>412</v>
      </c>
      <c r="F36">
        <v>400</v>
      </c>
      <c r="G36" t="s">
        <v>198</v>
      </c>
      <c r="H36">
        <f t="shared" si="0"/>
        <v>1.586E-3</v>
      </c>
      <c r="K36" t="s">
        <v>410</v>
      </c>
      <c r="L36" t="s">
        <v>176</v>
      </c>
      <c r="M36" t="s">
        <v>411</v>
      </c>
      <c r="N36" t="s">
        <v>412</v>
      </c>
      <c r="O36">
        <v>400</v>
      </c>
      <c r="P36" t="s">
        <v>198</v>
      </c>
    </row>
    <row r="37" spans="1:16" x14ac:dyDescent="0.25">
      <c r="A37">
        <v>36</v>
      </c>
      <c r="B37" t="s">
        <v>413</v>
      </c>
      <c r="C37" t="s">
        <v>176</v>
      </c>
      <c r="D37" t="s">
        <v>414</v>
      </c>
      <c r="E37" t="s">
        <v>415</v>
      </c>
      <c r="F37">
        <v>400</v>
      </c>
      <c r="G37" t="s">
        <v>183</v>
      </c>
      <c r="H37">
        <f t="shared" si="0"/>
        <v>1.042E-3</v>
      </c>
      <c r="K37" t="s">
        <v>413</v>
      </c>
      <c r="L37" t="s">
        <v>176</v>
      </c>
      <c r="M37" t="s">
        <v>414</v>
      </c>
      <c r="N37" t="s">
        <v>415</v>
      </c>
      <c r="O37">
        <v>400</v>
      </c>
      <c r="P37" t="s">
        <v>183</v>
      </c>
    </row>
    <row r="38" spans="1:16" x14ac:dyDescent="0.25">
      <c r="A38">
        <v>37</v>
      </c>
      <c r="B38" t="s">
        <v>416</v>
      </c>
      <c r="C38" t="s">
        <v>176</v>
      </c>
      <c r="D38" t="s">
        <v>417</v>
      </c>
      <c r="E38" t="s">
        <v>418</v>
      </c>
      <c r="F38">
        <v>400</v>
      </c>
      <c r="G38" t="s">
        <v>199</v>
      </c>
      <c r="H38">
        <f t="shared" si="0"/>
        <v>1.815E-3</v>
      </c>
      <c r="K38" t="s">
        <v>416</v>
      </c>
      <c r="L38" t="s">
        <v>176</v>
      </c>
      <c r="M38" t="s">
        <v>417</v>
      </c>
      <c r="N38" t="s">
        <v>418</v>
      </c>
      <c r="O38">
        <v>400</v>
      </c>
      <c r="P38" t="s">
        <v>199</v>
      </c>
    </row>
    <row r="39" spans="1:16" x14ac:dyDescent="0.25">
      <c r="A39">
        <v>38</v>
      </c>
      <c r="B39" t="s">
        <v>419</v>
      </c>
      <c r="C39" t="s">
        <v>176</v>
      </c>
      <c r="D39" t="s">
        <v>420</v>
      </c>
      <c r="E39" t="s">
        <v>421</v>
      </c>
      <c r="F39">
        <v>400</v>
      </c>
      <c r="G39" t="s">
        <v>200</v>
      </c>
      <c r="H39">
        <f t="shared" si="0"/>
        <v>1.3600000000000001E-3</v>
      </c>
      <c r="K39" t="s">
        <v>419</v>
      </c>
      <c r="L39" t="s">
        <v>176</v>
      </c>
      <c r="M39" t="s">
        <v>420</v>
      </c>
      <c r="N39" t="s">
        <v>421</v>
      </c>
      <c r="O39">
        <v>400</v>
      </c>
      <c r="P39" t="s">
        <v>200</v>
      </c>
    </row>
    <row r="40" spans="1:16" x14ac:dyDescent="0.25">
      <c r="A40">
        <v>39</v>
      </c>
      <c r="B40" t="s">
        <v>422</v>
      </c>
      <c r="C40" t="s">
        <v>176</v>
      </c>
      <c r="D40" t="s">
        <v>423</v>
      </c>
      <c r="E40" t="s">
        <v>424</v>
      </c>
      <c r="F40">
        <v>400</v>
      </c>
      <c r="G40" t="s">
        <v>183</v>
      </c>
      <c r="H40">
        <f t="shared" si="0"/>
        <v>1.005E-3</v>
      </c>
      <c r="K40" t="s">
        <v>422</v>
      </c>
      <c r="L40" t="s">
        <v>176</v>
      </c>
      <c r="M40" t="s">
        <v>423</v>
      </c>
      <c r="N40" t="s">
        <v>424</v>
      </c>
      <c r="O40">
        <v>400</v>
      </c>
      <c r="P40" t="s">
        <v>183</v>
      </c>
    </row>
    <row r="41" spans="1:16" x14ac:dyDescent="0.25">
      <c r="A41">
        <v>40</v>
      </c>
      <c r="B41" t="s">
        <v>425</v>
      </c>
      <c r="C41" t="s">
        <v>176</v>
      </c>
      <c r="D41" t="s">
        <v>426</v>
      </c>
      <c r="E41" t="s">
        <v>427</v>
      </c>
      <c r="F41">
        <v>400</v>
      </c>
      <c r="G41" t="s">
        <v>201</v>
      </c>
      <c r="H41">
        <f t="shared" si="0"/>
        <v>1.428E-3</v>
      </c>
      <c r="K41" t="s">
        <v>425</v>
      </c>
      <c r="L41" t="s">
        <v>176</v>
      </c>
      <c r="M41" t="s">
        <v>426</v>
      </c>
      <c r="N41" t="s">
        <v>427</v>
      </c>
      <c r="O41">
        <v>400</v>
      </c>
      <c r="P41" t="s">
        <v>201</v>
      </c>
    </row>
    <row r="42" spans="1:16" x14ac:dyDescent="0.25">
      <c r="A42">
        <v>41</v>
      </c>
      <c r="B42" t="s">
        <v>428</v>
      </c>
      <c r="C42" t="s">
        <v>176</v>
      </c>
      <c r="D42" t="s">
        <v>429</v>
      </c>
      <c r="E42" t="s">
        <v>430</v>
      </c>
      <c r="F42">
        <v>400</v>
      </c>
      <c r="G42" t="s">
        <v>202</v>
      </c>
      <c r="H42">
        <f t="shared" si="0"/>
        <v>1.441E-3</v>
      </c>
      <c r="K42" t="s">
        <v>428</v>
      </c>
      <c r="L42" t="s">
        <v>176</v>
      </c>
      <c r="M42" t="s">
        <v>429</v>
      </c>
      <c r="N42" t="s">
        <v>430</v>
      </c>
      <c r="O42">
        <v>400</v>
      </c>
      <c r="P42" t="s">
        <v>202</v>
      </c>
    </row>
    <row r="43" spans="1:16" x14ac:dyDescent="0.25">
      <c r="A43">
        <v>42</v>
      </c>
      <c r="B43" t="s">
        <v>431</v>
      </c>
      <c r="C43" t="s">
        <v>176</v>
      </c>
      <c r="D43" t="s">
        <v>432</v>
      </c>
      <c r="E43" t="s">
        <v>433</v>
      </c>
      <c r="F43">
        <v>400</v>
      </c>
      <c r="G43" t="s">
        <v>198</v>
      </c>
      <c r="H43">
        <f t="shared" si="0"/>
        <v>1.449E-3</v>
      </c>
      <c r="K43" t="s">
        <v>431</v>
      </c>
      <c r="L43" t="s">
        <v>176</v>
      </c>
      <c r="M43" t="s">
        <v>432</v>
      </c>
      <c r="N43" t="s">
        <v>433</v>
      </c>
      <c r="O43">
        <v>400</v>
      </c>
      <c r="P43" t="s">
        <v>198</v>
      </c>
    </row>
    <row r="44" spans="1:16" x14ac:dyDescent="0.25">
      <c r="A44">
        <v>43</v>
      </c>
      <c r="B44" t="s">
        <v>434</v>
      </c>
      <c r="C44" t="s">
        <v>176</v>
      </c>
      <c r="D44" t="s">
        <v>435</v>
      </c>
      <c r="E44" t="s">
        <v>436</v>
      </c>
      <c r="F44">
        <v>400</v>
      </c>
      <c r="G44" t="s">
        <v>203</v>
      </c>
      <c r="H44">
        <f t="shared" si="0"/>
        <v>1.4159999999999999E-3</v>
      </c>
      <c r="K44" t="s">
        <v>434</v>
      </c>
      <c r="L44" t="s">
        <v>176</v>
      </c>
      <c r="M44" t="s">
        <v>435</v>
      </c>
      <c r="N44" t="s">
        <v>436</v>
      </c>
      <c r="O44">
        <v>400</v>
      </c>
      <c r="P44" t="s">
        <v>203</v>
      </c>
    </row>
    <row r="45" spans="1:16" x14ac:dyDescent="0.25">
      <c r="A45">
        <v>44</v>
      </c>
      <c r="B45" t="s">
        <v>437</v>
      </c>
      <c r="C45" t="s">
        <v>176</v>
      </c>
      <c r="D45" t="s">
        <v>438</v>
      </c>
      <c r="E45" t="s">
        <v>439</v>
      </c>
      <c r="F45">
        <v>400</v>
      </c>
      <c r="G45" t="s">
        <v>204</v>
      </c>
      <c r="H45">
        <f t="shared" si="0"/>
        <v>1.4469999999999999E-3</v>
      </c>
      <c r="K45" t="s">
        <v>437</v>
      </c>
      <c r="L45" t="s">
        <v>176</v>
      </c>
      <c r="M45" t="s">
        <v>438</v>
      </c>
      <c r="N45" t="s">
        <v>439</v>
      </c>
      <c r="O45">
        <v>400</v>
      </c>
      <c r="P45" t="s">
        <v>204</v>
      </c>
    </row>
    <row r="46" spans="1:16" x14ac:dyDescent="0.25">
      <c r="A46">
        <v>45</v>
      </c>
      <c r="B46" t="s">
        <v>440</v>
      </c>
      <c r="C46" t="s">
        <v>176</v>
      </c>
      <c r="D46" t="s">
        <v>441</v>
      </c>
      <c r="E46" t="s">
        <v>442</v>
      </c>
      <c r="F46">
        <v>400</v>
      </c>
      <c r="G46" t="s">
        <v>205</v>
      </c>
      <c r="H46">
        <f t="shared" si="0"/>
        <v>2.5630000000000002E-3</v>
      </c>
      <c r="K46" t="s">
        <v>440</v>
      </c>
      <c r="L46" t="s">
        <v>176</v>
      </c>
      <c r="M46" t="s">
        <v>441</v>
      </c>
      <c r="N46" t="s">
        <v>442</v>
      </c>
      <c r="O46">
        <v>400</v>
      </c>
      <c r="P46" t="s">
        <v>205</v>
      </c>
    </row>
    <row r="47" spans="1:16" x14ac:dyDescent="0.25">
      <c r="A47">
        <v>46</v>
      </c>
      <c r="B47" t="s">
        <v>443</v>
      </c>
      <c r="C47" t="s">
        <v>176</v>
      </c>
      <c r="D47" t="s">
        <v>444</v>
      </c>
      <c r="E47" t="s">
        <v>445</v>
      </c>
      <c r="F47">
        <v>400</v>
      </c>
      <c r="G47" t="s">
        <v>206</v>
      </c>
      <c r="H47">
        <f t="shared" si="0"/>
        <v>1.885E-3</v>
      </c>
      <c r="K47" t="s">
        <v>443</v>
      </c>
      <c r="L47" t="s">
        <v>176</v>
      </c>
      <c r="M47" t="s">
        <v>444</v>
      </c>
      <c r="N47" t="s">
        <v>445</v>
      </c>
      <c r="O47">
        <v>400</v>
      </c>
      <c r="P47" t="s">
        <v>206</v>
      </c>
    </row>
    <row r="48" spans="1:16" x14ac:dyDescent="0.25">
      <c r="A48">
        <v>47</v>
      </c>
      <c r="B48" t="s">
        <v>446</v>
      </c>
      <c r="C48" t="s">
        <v>176</v>
      </c>
      <c r="D48" t="s">
        <v>447</v>
      </c>
      <c r="E48" t="s">
        <v>448</v>
      </c>
      <c r="F48">
        <v>400</v>
      </c>
      <c r="G48" t="s">
        <v>207</v>
      </c>
      <c r="H48">
        <f t="shared" si="0"/>
        <v>1.4549999999999999E-3</v>
      </c>
      <c r="K48" t="s">
        <v>446</v>
      </c>
      <c r="L48" t="s">
        <v>176</v>
      </c>
      <c r="M48" t="s">
        <v>447</v>
      </c>
      <c r="N48" t="s">
        <v>448</v>
      </c>
      <c r="O48">
        <v>400</v>
      </c>
      <c r="P48" t="s">
        <v>207</v>
      </c>
    </row>
    <row r="49" spans="1:16" x14ac:dyDescent="0.25">
      <c r="A49">
        <v>48</v>
      </c>
      <c r="B49" t="s">
        <v>449</v>
      </c>
      <c r="C49" t="s">
        <v>176</v>
      </c>
      <c r="D49" t="s">
        <v>450</v>
      </c>
      <c r="E49" t="s">
        <v>451</v>
      </c>
      <c r="F49">
        <v>400</v>
      </c>
      <c r="G49" t="s">
        <v>208</v>
      </c>
      <c r="H49">
        <f t="shared" si="0"/>
        <v>1.387E-3</v>
      </c>
      <c r="K49" t="s">
        <v>449</v>
      </c>
      <c r="L49" t="s">
        <v>176</v>
      </c>
      <c r="M49" t="s">
        <v>450</v>
      </c>
      <c r="N49" t="s">
        <v>451</v>
      </c>
      <c r="O49">
        <v>400</v>
      </c>
      <c r="P49" t="s">
        <v>208</v>
      </c>
    </row>
    <row r="50" spans="1:16" x14ac:dyDescent="0.25">
      <c r="A50">
        <v>49</v>
      </c>
      <c r="B50" t="s">
        <v>452</v>
      </c>
      <c r="C50" t="s">
        <v>176</v>
      </c>
      <c r="D50" t="s">
        <v>453</v>
      </c>
      <c r="E50" t="s">
        <v>454</v>
      </c>
      <c r="F50">
        <v>400</v>
      </c>
      <c r="G50" t="s">
        <v>209</v>
      </c>
      <c r="H50">
        <f t="shared" si="0"/>
        <v>1.619E-3</v>
      </c>
      <c r="K50" t="s">
        <v>452</v>
      </c>
      <c r="L50" t="s">
        <v>176</v>
      </c>
      <c r="M50" t="s">
        <v>453</v>
      </c>
      <c r="N50" t="s">
        <v>454</v>
      </c>
      <c r="O50">
        <v>400</v>
      </c>
      <c r="P50" t="s">
        <v>209</v>
      </c>
    </row>
    <row r="51" spans="1:16" x14ac:dyDescent="0.25">
      <c r="A51">
        <v>50</v>
      </c>
      <c r="B51" t="s">
        <v>455</v>
      </c>
      <c r="C51" t="s">
        <v>176</v>
      </c>
      <c r="D51" t="s">
        <v>456</v>
      </c>
      <c r="E51" t="s">
        <v>457</v>
      </c>
      <c r="F51">
        <v>400</v>
      </c>
      <c r="G51" t="s">
        <v>210</v>
      </c>
      <c r="H51">
        <f t="shared" si="0"/>
        <v>1.8060000000000001E-3</v>
      </c>
      <c r="K51" t="s">
        <v>455</v>
      </c>
      <c r="L51" t="s">
        <v>176</v>
      </c>
      <c r="M51" t="s">
        <v>456</v>
      </c>
      <c r="N51" t="s">
        <v>457</v>
      </c>
      <c r="O51">
        <v>400</v>
      </c>
      <c r="P51" t="s">
        <v>210</v>
      </c>
    </row>
    <row r="52" spans="1:16" x14ac:dyDescent="0.25">
      <c r="A52">
        <v>51</v>
      </c>
      <c r="B52" t="s">
        <v>458</v>
      </c>
      <c r="C52" t="s">
        <v>176</v>
      </c>
      <c r="D52" t="s">
        <v>459</v>
      </c>
      <c r="E52" t="s">
        <v>460</v>
      </c>
      <c r="F52">
        <v>400</v>
      </c>
      <c r="G52" t="s">
        <v>211</v>
      </c>
      <c r="H52">
        <f t="shared" si="0"/>
        <v>1.727E-3</v>
      </c>
      <c r="K52" t="s">
        <v>458</v>
      </c>
      <c r="L52" t="s">
        <v>176</v>
      </c>
      <c r="M52" t="s">
        <v>459</v>
      </c>
      <c r="N52" t="s">
        <v>460</v>
      </c>
      <c r="O52">
        <v>400</v>
      </c>
      <c r="P52" t="s">
        <v>211</v>
      </c>
    </row>
    <row r="53" spans="1:16" x14ac:dyDescent="0.25">
      <c r="A53">
        <v>52</v>
      </c>
      <c r="B53" t="s">
        <v>461</v>
      </c>
      <c r="C53" t="s">
        <v>176</v>
      </c>
      <c r="D53" t="s">
        <v>462</v>
      </c>
      <c r="E53" t="s">
        <v>463</v>
      </c>
      <c r="F53">
        <v>400</v>
      </c>
      <c r="G53" t="s">
        <v>212</v>
      </c>
      <c r="H53">
        <f t="shared" si="0"/>
        <v>1.774E-3</v>
      </c>
      <c r="K53" t="s">
        <v>461</v>
      </c>
      <c r="L53" t="s">
        <v>176</v>
      </c>
      <c r="M53" t="s">
        <v>462</v>
      </c>
      <c r="N53" t="s">
        <v>463</v>
      </c>
      <c r="O53">
        <v>400</v>
      </c>
      <c r="P53" t="s">
        <v>212</v>
      </c>
    </row>
    <row r="54" spans="1:16" x14ac:dyDescent="0.25">
      <c r="A54">
        <v>53</v>
      </c>
      <c r="B54" t="s">
        <v>464</v>
      </c>
      <c r="C54" t="s">
        <v>176</v>
      </c>
      <c r="D54" t="s">
        <v>465</v>
      </c>
      <c r="E54" t="s">
        <v>466</v>
      </c>
      <c r="F54">
        <v>400</v>
      </c>
      <c r="G54" t="s">
        <v>212</v>
      </c>
      <c r="H54">
        <f t="shared" si="0"/>
        <v>1.9289999999999999E-3</v>
      </c>
      <c r="K54" t="s">
        <v>464</v>
      </c>
      <c r="L54" t="s">
        <v>176</v>
      </c>
      <c r="M54" t="s">
        <v>465</v>
      </c>
      <c r="N54" t="s">
        <v>466</v>
      </c>
      <c r="O54">
        <v>400</v>
      </c>
      <c r="P54" t="s">
        <v>212</v>
      </c>
    </row>
    <row r="55" spans="1:16" x14ac:dyDescent="0.25">
      <c r="A55">
        <v>54</v>
      </c>
      <c r="B55" t="s">
        <v>467</v>
      </c>
      <c r="C55" t="s">
        <v>176</v>
      </c>
      <c r="D55" t="s">
        <v>468</v>
      </c>
      <c r="E55" t="s">
        <v>469</v>
      </c>
      <c r="F55">
        <v>400</v>
      </c>
      <c r="G55" t="s">
        <v>213</v>
      </c>
      <c r="H55">
        <f t="shared" si="0"/>
        <v>1.5089999999999999E-3</v>
      </c>
      <c r="K55" t="s">
        <v>467</v>
      </c>
      <c r="L55" t="s">
        <v>176</v>
      </c>
      <c r="M55" t="s">
        <v>468</v>
      </c>
      <c r="N55" t="s">
        <v>469</v>
      </c>
      <c r="O55">
        <v>400</v>
      </c>
      <c r="P55" t="s">
        <v>213</v>
      </c>
    </row>
    <row r="56" spans="1:16" x14ac:dyDescent="0.25">
      <c r="A56">
        <v>55</v>
      </c>
      <c r="B56" t="s">
        <v>470</v>
      </c>
      <c r="C56" t="s">
        <v>176</v>
      </c>
      <c r="D56" t="s">
        <v>471</v>
      </c>
      <c r="E56" t="s">
        <v>472</v>
      </c>
      <c r="F56">
        <v>400</v>
      </c>
      <c r="G56" t="s">
        <v>214</v>
      </c>
      <c r="H56">
        <f t="shared" si="0"/>
        <v>1.139E-3</v>
      </c>
      <c r="K56" t="s">
        <v>470</v>
      </c>
      <c r="L56" t="s">
        <v>176</v>
      </c>
      <c r="M56" t="s">
        <v>471</v>
      </c>
      <c r="N56" t="s">
        <v>472</v>
      </c>
      <c r="O56">
        <v>400</v>
      </c>
      <c r="P56" t="s">
        <v>214</v>
      </c>
    </row>
    <row r="57" spans="1:16" x14ac:dyDescent="0.25">
      <c r="A57">
        <v>56</v>
      </c>
      <c r="B57" t="s">
        <v>473</v>
      </c>
      <c r="C57" t="s">
        <v>176</v>
      </c>
      <c r="D57" t="s">
        <v>474</v>
      </c>
      <c r="E57" t="s">
        <v>475</v>
      </c>
      <c r="F57">
        <v>400</v>
      </c>
      <c r="G57" t="s">
        <v>215</v>
      </c>
      <c r="H57">
        <f t="shared" si="0"/>
        <v>9.9599999999999992E-4</v>
      </c>
      <c r="K57" t="s">
        <v>473</v>
      </c>
      <c r="L57" t="s">
        <v>176</v>
      </c>
      <c r="M57" t="s">
        <v>474</v>
      </c>
      <c r="N57" t="s">
        <v>475</v>
      </c>
      <c r="O57">
        <v>400</v>
      </c>
      <c r="P57" t="s">
        <v>215</v>
      </c>
    </row>
    <row r="58" spans="1:16" x14ac:dyDescent="0.25">
      <c r="A58">
        <v>57</v>
      </c>
      <c r="B58" t="s">
        <v>476</v>
      </c>
      <c r="C58" t="s">
        <v>176</v>
      </c>
      <c r="D58" t="s">
        <v>477</v>
      </c>
      <c r="E58" t="s">
        <v>478</v>
      </c>
      <c r="F58">
        <v>400</v>
      </c>
      <c r="G58" t="s">
        <v>216</v>
      </c>
      <c r="H58">
        <f t="shared" si="0"/>
        <v>1.2780000000000001E-3</v>
      </c>
      <c r="K58" t="s">
        <v>476</v>
      </c>
      <c r="L58" t="s">
        <v>176</v>
      </c>
      <c r="M58" t="s">
        <v>477</v>
      </c>
      <c r="N58" t="s">
        <v>478</v>
      </c>
      <c r="O58">
        <v>400</v>
      </c>
      <c r="P58" t="s">
        <v>216</v>
      </c>
    </row>
    <row r="59" spans="1:16" x14ac:dyDescent="0.25">
      <c r="A59">
        <v>58</v>
      </c>
      <c r="B59" t="s">
        <v>479</v>
      </c>
      <c r="C59" t="s">
        <v>176</v>
      </c>
      <c r="D59" t="s">
        <v>480</v>
      </c>
      <c r="E59" t="s">
        <v>481</v>
      </c>
      <c r="F59">
        <v>400</v>
      </c>
      <c r="G59" t="s">
        <v>217</v>
      </c>
      <c r="H59">
        <f t="shared" si="0"/>
        <v>1.207E-3</v>
      </c>
      <c r="K59" t="s">
        <v>479</v>
      </c>
      <c r="L59" t="s">
        <v>176</v>
      </c>
      <c r="M59" t="s">
        <v>480</v>
      </c>
      <c r="N59" t="s">
        <v>481</v>
      </c>
      <c r="O59">
        <v>400</v>
      </c>
      <c r="P59" t="s">
        <v>217</v>
      </c>
    </row>
    <row r="60" spans="1:16" x14ac:dyDescent="0.25">
      <c r="A60">
        <v>59</v>
      </c>
      <c r="B60" t="s">
        <v>482</v>
      </c>
      <c r="C60" t="s">
        <v>176</v>
      </c>
      <c r="D60" t="s">
        <v>483</v>
      </c>
      <c r="E60" t="s">
        <v>484</v>
      </c>
      <c r="F60">
        <v>400</v>
      </c>
      <c r="G60" t="s">
        <v>203</v>
      </c>
      <c r="H60">
        <f t="shared" si="0"/>
        <v>1.124E-3</v>
      </c>
      <c r="K60" t="s">
        <v>482</v>
      </c>
      <c r="L60" t="s">
        <v>176</v>
      </c>
      <c r="M60" t="s">
        <v>483</v>
      </c>
      <c r="N60" t="s">
        <v>484</v>
      </c>
      <c r="O60">
        <v>400</v>
      </c>
      <c r="P60" t="s">
        <v>203</v>
      </c>
    </row>
    <row r="61" spans="1:16" x14ac:dyDescent="0.25">
      <c r="A61">
        <v>60</v>
      </c>
      <c r="B61" t="s">
        <v>485</v>
      </c>
      <c r="C61" t="s">
        <v>176</v>
      </c>
      <c r="D61" t="s">
        <v>486</v>
      </c>
      <c r="E61" t="s">
        <v>487</v>
      </c>
      <c r="F61">
        <v>400</v>
      </c>
      <c r="G61" t="s">
        <v>218</v>
      </c>
      <c r="H61">
        <f t="shared" si="0"/>
        <v>7.8410000000000007E-3</v>
      </c>
      <c r="K61" t="s">
        <v>485</v>
      </c>
      <c r="L61" t="s">
        <v>176</v>
      </c>
      <c r="M61" t="s">
        <v>486</v>
      </c>
      <c r="N61" t="s">
        <v>487</v>
      </c>
      <c r="O61">
        <v>400</v>
      </c>
      <c r="P61" t="s">
        <v>218</v>
      </c>
    </row>
    <row r="62" spans="1:16" x14ac:dyDescent="0.25">
      <c r="A62">
        <v>61</v>
      </c>
      <c r="B62" t="s">
        <v>488</v>
      </c>
      <c r="C62" t="s">
        <v>176</v>
      </c>
      <c r="D62" t="s">
        <v>489</v>
      </c>
      <c r="E62" t="s">
        <v>490</v>
      </c>
      <c r="F62">
        <v>400</v>
      </c>
      <c r="G62" t="s">
        <v>204</v>
      </c>
      <c r="H62">
        <f t="shared" si="0"/>
        <v>5.0470000000000003E-3</v>
      </c>
      <c r="K62" t="s">
        <v>488</v>
      </c>
      <c r="L62" t="s">
        <v>176</v>
      </c>
      <c r="M62" t="s">
        <v>489</v>
      </c>
      <c r="N62" t="s">
        <v>490</v>
      </c>
      <c r="O62">
        <v>400</v>
      </c>
      <c r="P62" t="s">
        <v>204</v>
      </c>
    </row>
    <row r="63" spans="1:16" x14ac:dyDescent="0.25">
      <c r="A63">
        <v>62</v>
      </c>
      <c r="B63" t="s">
        <v>491</v>
      </c>
      <c r="C63" t="s">
        <v>176</v>
      </c>
      <c r="D63" t="s">
        <v>492</v>
      </c>
      <c r="E63" t="s">
        <v>493</v>
      </c>
      <c r="F63">
        <v>400</v>
      </c>
      <c r="G63" t="s">
        <v>219</v>
      </c>
      <c r="H63">
        <f t="shared" si="0"/>
        <v>1.5969999999999999E-3</v>
      </c>
      <c r="K63" t="s">
        <v>491</v>
      </c>
      <c r="L63" t="s">
        <v>176</v>
      </c>
      <c r="M63" t="s">
        <v>492</v>
      </c>
      <c r="N63" t="s">
        <v>493</v>
      </c>
      <c r="O63">
        <v>400</v>
      </c>
      <c r="P63" t="s">
        <v>219</v>
      </c>
    </row>
    <row r="64" spans="1:16" x14ac:dyDescent="0.25">
      <c r="A64">
        <v>63</v>
      </c>
      <c r="B64" t="s">
        <v>494</v>
      </c>
      <c r="C64" t="s">
        <v>176</v>
      </c>
      <c r="D64" t="s">
        <v>495</v>
      </c>
      <c r="E64" t="s">
        <v>391</v>
      </c>
      <c r="F64">
        <v>400</v>
      </c>
      <c r="G64" t="s">
        <v>220</v>
      </c>
      <c r="H64">
        <f t="shared" si="0"/>
        <v>1.2329999999999999E-3</v>
      </c>
      <c r="K64" t="s">
        <v>494</v>
      </c>
      <c r="L64" t="s">
        <v>176</v>
      </c>
      <c r="M64" t="s">
        <v>495</v>
      </c>
      <c r="N64" t="s">
        <v>391</v>
      </c>
      <c r="O64">
        <v>400</v>
      </c>
      <c r="P64" t="s">
        <v>220</v>
      </c>
    </row>
    <row r="65" spans="1:16" x14ac:dyDescent="0.25">
      <c r="A65">
        <v>64</v>
      </c>
      <c r="B65" t="s">
        <v>496</v>
      </c>
      <c r="C65" t="s">
        <v>221</v>
      </c>
      <c r="D65" t="s">
        <v>497</v>
      </c>
      <c r="E65" t="s">
        <v>498</v>
      </c>
      <c r="F65">
        <v>200</v>
      </c>
      <c r="G65" t="s">
        <v>499</v>
      </c>
      <c r="H65">
        <f t="shared" si="0"/>
        <v>1.8353999999999999E-2</v>
      </c>
      <c r="K65" t="s">
        <v>496</v>
      </c>
      <c r="L65" t="s">
        <v>221</v>
      </c>
      <c r="M65" t="s">
        <v>497</v>
      </c>
      <c r="N65" t="s">
        <v>498</v>
      </c>
      <c r="O65">
        <v>200</v>
      </c>
      <c r="P65" t="s">
        <v>499</v>
      </c>
    </row>
    <row r="66" spans="1:16" x14ac:dyDescent="0.25">
      <c r="A66">
        <v>65</v>
      </c>
      <c r="B66" t="s">
        <v>500</v>
      </c>
      <c r="C66" t="s">
        <v>221</v>
      </c>
      <c r="D66" t="s">
        <v>501</v>
      </c>
      <c r="E66" t="s">
        <v>502</v>
      </c>
      <c r="F66">
        <v>200</v>
      </c>
      <c r="G66" t="s">
        <v>503</v>
      </c>
      <c r="H66">
        <f t="shared" si="0"/>
        <v>8.2518999999999995E-2</v>
      </c>
      <c r="K66" t="s">
        <v>500</v>
      </c>
      <c r="L66" t="s">
        <v>221</v>
      </c>
      <c r="M66" t="s">
        <v>501</v>
      </c>
      <c r="N66" t="s">
        <v>502</v>
      </c>
      <c r="O66">
        <v>200</v>
      </c>
      <c r="P66" t="s">
        <v>503</v>
      </c>
    </row>
    <row r="67" spans="1:16" x14ac:dyDescent="0.25">
      <c r="A67">
        <v>66</v>
      </c>
      <c r="B67" t="s">
        <v>504</v>
      </c>
      <c r="C67" t="s">
        <v>221</v>
      </c>
      <c r="D67" t="s">
        <v>505</v>
      </c>
      <c r="E67" t="s">
        <v>506</v>
      </c>
      <c r="F67">
        <v>200</v>
      </c>
      <c r="G67" t="s">
        <v>507</v>
      </c>
      <c r="H67">
        <f t="shared" ref="H67:H95" si="1">SUBSTITUTE(MID(E67,7,10),".",",")+0</f>
        <v>3.1275999999999998E-2</v>
      </c>
      <c r="K67" t="s">
        <v>504</v>
      </c>
      <c r="L67" t="s">
        <v>221</v>
      </c>
      <c r="M67" t="s">
        <v>505</v>
      </c>
      <c r="N67" t="s">
        <v>506</v>
      </c>
      <c r="O67">
        <v>200</v>
      </c>
      <c r="P67" t="s">
        <v>507</v>
      </c>
    </row>
    <row r="68" spans="1:16" x14ac:dyDescent="0.25">
      <c r="A68">
        <v>67</v>
      </c>
      <c r="B68" t="s">
        <v>508</v>
      </c>
      <c r="C68" t="s">
        <v>221</v>
      </c>
      <c r="D68" t="s">
        <v>509</v>
      </c>
      <c r="E68" t="s">
        <v>510</v>
      </c>
      <c r="F68">
        <v>400</v>
      </c>
      <c r="G68" t="s">
        <v>183</v>
      </c>
      <c r="H68">
        <f t="shared" si="1"/>
        <v>9.0499999999999999E-4</v>
      </c>
      <c r="K68" t="s">
        <v>508</v>
      </c>
      <c r="L68" t="s">
        <v>221</v>
      </c>
      <c r="M68" t="s">
        <v>509</v>
      </c>
      <c r="N68" t="s">
        <v>510</v>
      </c>
      <c r="O68">
        <v>400</v>
      </c>
      <c r="P68" t="s">
        <v>183</v>
      </c>
    </row>
    <row r="69" spans="1:16" x14ac:dyDescent="0.25">
      <c r="A69">
        <v>68</v>
      </c>
      <c r="B69" t="s">
        <v>511</v>
      </c>
      <c r="C69" t="s">
        <v>221</v>
      </c>
      <c r="D69" t="s">
        <v>512</v>
      </c>
      <c r="E69" t="s">
        <v>513</v>
      </c>
      <c r="F69">
        <v>400</v>
      </c>
      <c r="G69" t="s">
        <v>183</v>
      </c>
      <c r="H69">
        <f t="shared" si="1"/>
        <v>8.7100000000000003E-4</v>
      </c>
      <c r="K69" t="s">
        <v>511</v>
      </c>
      <c r="L69" t="s">
        <v>221</v>
      </c>
      <c r="M69" t="s">
        <v>512</v>
      </c>
      <c r="N69" t="s">
        <v>513</v>
      </c>
      <c r="O69">
        <v>400</v>
      </c>
      <c r="P69" t="s">
        <v>183</v>
      </c>
    </row>
    <row r="70" spans="1:16" x14ac:dyDescent="0.25">
      <c r="A70">
        <v>69</v>
      </c>
      <c r="B70" t="s">
        <v>514</v>
      </c>
      <c r="C70" t="s">
        <v>221</v>
      </c>
      <c r="D70" t="s">
        <v>515</v>
      </c>
      <c r="E70" t="s">
        <v>328</v>
      </c>
      <c r="F70">
        <v>400</v>
      </c>
      <c r="G70" t="s">
        <v>183</v>
      </c>
      <c r="H70">
        <f t="shared" si="1"/>
        <v>1.024E-3</v>
      </c>
      <c r="K70" t="s">
        <v>514</v>
      </c>
      <c r="L70" t="s">
        <v>221</v>
      </c>
      <c r="M70" t="s">
        <v>515</v>
      </c>
      <c r="N70" t="s">
        <v>328</v>
      </c>
      <c r="O70">
        <v>400</v>
      </c>
      <c r="P70" t="s">
        <v>183</v>
      </c>
    </row>
    <row r="71" spans="1:16" x14ac:dyDescent="0.25">
      <c r="A71">
        <v>70</v>
      </c>
      <c r="B71" t="s">
        <v>516</v>
      </c>
      <c r="C71" t="s">
        <v>221</v>
      </c>
      <c r="D71" t="s">
        <v>517</v>
      </c>
      <c r="E71" t="s">
        <v>518</v>
      </c>
      <c r="F71">
        <v>400</v>
      </c>
      <c r="G71" t="s">
        <v>186</v>
      </c>
      <c r="H71">
        <f t="shared" si="1"/>
        <v>9.7199999999999999E-4</v>
      </c>
      <c r="K71" t="s">
        <v>516</v>
      </c>
      <c r="L71" t="s">
        <v>221</v>
      </c>
      <c r="M71" t="s">
        <v>517</v>
      </c>
      <c r="N71" t="s">
        <v>518</v>
      </c>
      <c r="O71">
        <v>400</v>
      </c>
      <c r="P71" t="s">
        <v>186</v>
      </c>
    </row>
    <row r="72" spans="1:16" x14ac:dyDescent="0.25">
      <c r="A72">
        <v>71</v>
      </c>
      <c r="B72" t="s">
        <v>519</v>
      </c>
      <c r="C72" t="s">
        <v>221</v>
      </c>
      <c r="D72" t="s">
        <v>520</v>
      </c>
      <c r="E72" t="s">
        <v>521</v>
      </c>
      <c r="F72">
        <v>400</v>
      </c>
      <c r="G72" t="s">
        <v>222</v>
      </c>
      <c r="H72">
        <f t="shared" si="1"/>
        <v>9.8900000000000008E-4</v>
      </c>
      <c r="K72" t="s">
        <v>519</v>
      </c>
      <c r="L72" t="s">
        <v>221</v>
      </c>
      <c r="M72" t="s">
        <v>520</v>
      </c>
      <c r="N72" t="s">
        <v>521</v>
      </c>
      <c r="O72">
        <v>400</v>
      </c>
      <c r="P72" t="s">
        <v>222</v>
      </c>
    </row>
    <row r="73" spans="1:16" x14ac:dyDescent="0.25">
      <c r="A73">
        <v>72</v>
      </c>
      <c r="B73" t="s">
        <v>522</v>
      </c>
      <c r="C73" t="s">
        <v>221</v>
      </c>
      <c r="D73" t="s">
        <v>523</v>
      </c>
      <c r="E73" t="s">
        <v>524</v>
      </c>
      <c r="F73">
        <v>400</v>
      </c>
      <c r="G73" t="s">
        <v>223</v>
      </c>
      <c r="H73">
        <f t="shared" si="1"/>
        <v>1.0020000000000001E-3</v>
      </c>
      <c r="K73" t="s">
        <v>522</v>
      </c>
      <c r="L73" t="s">
        <v>221</v>
      </c>
      <c r="M73" t="s">
        <v>523</v>
      </c>
      <c r="N73" t="s">
        <v>524</v>
      </c>
      <c r="O73">
        <v>400</v>
      </c>
      <c r="P73" t="s">
        <v>223</v>
      </c>
    </row>
    <row r="74" spans="1:16" x14ac:dyDescent="0.25">
      <c r="A74">
        <v>73</v>
      </c>
      <c r="B74" t="s">
        <v>525</v>
      </c>
      <c r="C74" t="s">
        <v>221</v>
      </c>
      <c r="D74" t="s">
        <v>526</v>
      </c>
      <c r="E74" t="s">
        <v>527</v>
      </c>
      <c r="F74">
        <v>400</v>
      </c>
      <c r="G74" t="s">
        <v>224</v>
      </c>
      <c r="H74">
        <f t="shared" si="1"/>
        <v>1.0870000000000001E-3</v>
      </c>
      <c r="K74" t="s">
        <v>525</v>
      </c>
      <c r="L74" t="s">
        <v>221</v>
      </c>
      <c r="M74" t="s">
        <v>526</v>
      </c>
      <c r="N74" t="s">
        <v>527</v>
      </c>
      <c r="O74">
        <v>400</v>
      </c>
      <c r="P74" t="s">
        <v>224</v>
      </c>
    </row>
    <row r="75" spans="1:16" x14ac:dyDescent="0.25">
      <c r="A75">
        <v>74</v>
      </c>
      <c r="B75" t="s">
        <v>528</v>
      </c>
      <c r="C75" t="s">
        <v>221</v>
      </c>
      <c r="D75" t="s">
        <v>529</v>
      </c>
      <c r="E75" t="s">
        <v>530</v>
      </c>
      <c r="F75">
        <v>400</v>
      </c>
      <c r="G75" t="s">
        <v>224</v>
      </c>
      <c r="H75">
        <f t="shared" si="1"/>
        <v>1.1000000000000001E-3</v>
      </c>
      <c r="K75" t="s">
        <v>528</v>
      </c>
      <c r="L75" t="s">
        <v>221</v>
      </c>
      <c r="M75" t="s">
        <v>529</v>
      </c>
      <c r="N75" t="s">
        <v>530</v>
      </c>
      <c r="O75">
        <v>400</v>
      </c>
      <c r="P75" t="s">
        <v>224</v>
      </c>
    </row>
    <row r="76" spans="1:16" x14ac:dyDescent="0.25">
      <c r="A76">
        <v>75</v>
      </c>
      <c r="B76" t="s">
        <v>531</v>
      </c>
      <c r="C76" t="s">
        <v>221</v>
      </c>
      <c r="D76" t="s">
        <v>532</v>
      </c>
      <c r="E76" t="s">
        <v>533</v>
      </c>
      <c r="F76">
        <v>400</v>
      </c>
      <c r="G76" t="s">
        <v>223</v>
      </c>
      <c r="H76">
        <f t="shared" si="1"/>
        <v>8.1999999999999998E-4</v>
      </c>
      <c r="K76" t="s">
        <v>531</v>
      </c>
      <c r="L76" t="s">
        <v>221</v>
      </c>
      <c r="M76" t="s">
        <v>532</v>
      </c>
      <c r="N76" t="s">
        <v>533</v>
      </c>
      <c r="O76">
        <v>400</v>
      </c>
      <c r="P76" t="s">
        <v>223</v>
      </c>
    </row>
    <row r="77" spans="1:16" x14ac:dyDescent="0.25">
      <c r="A77">
        <v>76</v>
      </c>
      <c r="B77" t="s">
        <v>534</v>
      </c>
      <c r="C77" t="s">
        <v>221</v>
      </c>
      <c r="D77" t="s">
        <v>535</v>
      </c>
      <c r="E77" t="s">
        <v>536</v>
      </c>
      <c r="F77">
        <v>400</v>
      </c>
      <c r="G77" t="s">
        <v>225</v>
      </c>
      <c r="H77">
        <f t="shared" si="1"/>
        <v>1.021E-3</v>
      </c>
      <c r="K77" t="s">
        <v>534</v>
      </c>
      <c r="L77" t="s">
        <v>221</v>
      </c>
      <c r="M77" t="s">
        <v>535</v>
      </c>
      <c r="N77" t="s">
        <v>536</v>
      </c>
      <c r="O77">
        <v>400</v>
      </c>
      <c r="P77" t="s">
        <v>225</v>
      </c>
    </row>
    <row r="78" spans="1:16" x14ac:dyDescent="0.25">
      <c r="A78">
        <v>77</v>
      </c>
      <c r="B78" t="s">
        <v>537</v>
      </c>
      <c r="C78" t="s">
        <v>221</v>
      </c>
      <c r="D78" t="s">
        <v>538</v>
      </c>
      <c r="E78" t="s">
        <v>539</v>
      </c>
      <c r="F78">
        <v>400</v>
      </c>
      <c r="G78" t="s">
        <v>281</v>
      </c>
      <c r="H78">
        <f t="shared" si="1"/>
        <v>7.36E-4</v>
      </c>
      <c r="K78" t="s">
        <v>537</v>
      </c>
      <c r="L78" t="s">
        <v>221</v>
      </c>
      <c r="M78" t="s">
        <v>538</v>
      </c>
      <c r="N78" t="s">
        <v>539</v>
      </c>
      <c r="O78">
        <v>400</v>
      </c>
      <c r="P78" t="s">
        <v>281</v>
      </c>
    </row>
    <row r="79" spans="1:16" x14ac:dyDescent="0.25">
      <c r="A79">
        <v>78</v>
      </c>
      <c r="B79" t="s">
        <v>540</v>
      </c>
      <c r="C79" t="s">
        <v>221</v>
      </c>
      <c r="D79" t="s">
        <v>541</v>
      </c>
      <c r="E79" t="s">
        <v>542</v>
      </c>
      <c r="F79">
        <v>400</v>
      </c>
      <c r="G79" t="s">
        <v>226</v>
      </c>
      <c r="H79">
        <f t="shared" si="1"/>
        <v>1.1869999999999999E-3</v>
      </c>
      <c r="K79" t="s">
        <v>540</v>
      </c>
      <c r="L79" t="s">
        <v>221</v>
      </c>
      <c r="M79" t="s">
        <v>541</v>
      </c>
      <c r="N79" t="s">
        <v>542</v>
      </c>
      <c r="O79">
        <v>400</v>
      </c>
      <c r="P79" t="s">
        <v>226</v>
      </c>
    </row>
    <row r="80" spans="1:16" x14ac:dyDescent="0.25">
      <c r="A80">
        <v>79</v>
      </c>
      <c r="B80" t="s">
        <v>543</v>
      </c>
      <c r="C80" t="s">
        <v>221</v>
      </c>
      <c r="D80" t="s">
        <v>544</v>
      </c>
      <c r="E80" t="s">
        <v>545</v>
      </c>
      <c r="F80">
        <v>400</v>
      </c>
      <c r="G80" t="s">
        <v>227</v>
      </c>
      <c r="H80">
        <f t="shared" si="1"/>
        <v>1.356E-3</v>
      </c>
      <c r="K80" t="s">
        <v>543</v>
      </c>
      <c r="L80" t="s">
        <v>221</v>
      </c>
      <c r="M80" t="s">
        <v>544</v>
      </c>
      <c r="N80" t="s">
        <v>545</v>
      </c>
      <c r="O80">
        <v>400</v>
      </c>
      <c r="P80" t="s">
        <v>227</v>
      </c>
    </row>
    <row r="81" spans="1:16" x14ac:dyDescent="0.25">
      <c r="A81">
        <v>80</v>
      </c>
      <c r="B81" t="s">
        <v>546</v>
      </c>
      <c r="C81" t="s">
        <v>221</v>
      </c>
      <c r="D81" t="s">
        <v>547</v>
      </c>
      <c r="E81" t="s">
        <v>548</v>
      </c>
      <c r="F81">
        <v>400</v>
      </c>
      <c r="G81" t="s">
        <v>228</v>
      </c>
      <c r="H81">
        <f t="shared" si="1"/>
        <v>1.0640000000000001E-3</v>
      </c>
      <c r="K81" t="s">
        <v>546</v>
      </c>
      <c r="L81" t="s">
        <v>221</v>
      </c>
      <c r="M81" t="s">
        <v>547</v>
      </c>
      <c r="N81" t="s">
        <v>548</v>
      </c>
      <c r="O81">
        <v>400</v>
      </c>
      <c r="P81" t="s">
        <v>228</v>
      </c>
    </row>
    <row r="82" spans="1:16" x14ac:dyDescent="0.25">
      <c r="A82">
        <v>81</v>
      </c>
      <c r="B82" t="s">
        <v>549</v>
      </c>
      <c r="C82" t="s">
        <v>221</v>
      </c>
      <c r="D82" t="s">
        <v>550</v>
      </c>
      <c r="E82" t="s">
        <v>551</v>
      </c>
      <c r="F82">
        <v>400</v>
      </c>
      <c r="G82" t="s">
        <v>229</v>
      </c>
      <c r="H82">
        <f t="shared" si="1"/>
        <v>1.1130000000000001E-3</v>
      </c>
      <c r="K82" t="s">
        <v>549</v>
      </c>
      <c r="L82" t="s">
        <v>221</v>
      </c>
      <c r="M82" t="s">
        <v>550</v>
      </c>
      <c r="N82" t="s">
        <v>551</v>
      </c>
      <c r="O82">
        <v>400</v>
      </c>
      <c r="P82" t="s">
        <v>229</v>
      </c>
    </row>
    <row r="83" spans="1:16" x14ac:dyDescent="0.25">
      <c r="A83">
        <v>82</v>
      </c>
      <c r="B83" t="s">
        <v>552</v>
      </c>
      <c r="C83" t="s">
        <v>221</v>
      </c>
      <c r="D83" t="s">
        <v>553</v>
      </c>
      <c r="E83" t="s">
        <v>554</v>
      </c>
      <c r="F83">
        <v>400</v>
      </c>
      <c r="G83" t="s">
        <v>230</v>
      </c>
      <c r="H83">
        <f t="shared" si="1"/>
        <v>9.2500000000000004E-4</v>
      </c>
      <c r="K83" t="s">
        <v>552</v>
      </c>
      <c r="L83" t="s">
        <v>221</v>
      </c>
      <c r="M83" t="s">
        <v>553</v>
      </c>
      <c r="N83" t="s">
        <v>554</v>
      </c>
      <c r="O83">
        <v>400</v>
      </c>
      <c r="P83" t="s">
        <v>230</v>
      </c>
    </row>
    <row r="84" spans="1:16" x14ac:dyDescent="0.25">
      <c r="A84">
        <v>83</v>
      </c>
      <c r="B84" t="s">
        <v>555</v>
      </c>
      <c r="C84" t="s">
        <v>221</v>
      </c>
      <c r="D84" t="s">
        <v>556</v>
      </c>
      <c r="E84" t="s">
        <v>394</v>
      </c>
      <c r="F84">
        <v>400</v>
      </c>
      <c r="G84" t="s">
        <v>226</v>
      </c>
      <c r="H84">
        <f t="shared" si="1"/>
        <v>9.7799999999999992E-4</v>
      </c>
      <c r="K84" t="s">
        <v>555</v>
      </c>
      <c r="L84" t="s">
        <v>221</v>
      </c>
      <c r="M84" t="s">
        <v>556</v>
      </c>
      <c r="N84" t="s">
        <v>394</v>
      </c>
      <c r="O84">
        <v>400</v>
      </c>
      <c r="P84" t="s">
        <v>226</v>
      </c>
    </row>
    <row r="85" spans="1:16" x14ac:dyDescent="0.25">
      <c r="A85">
        <v>84</v>
      </c>
      <c r="B85" t="s">
        <v>231</v>
      </c>
      <c r="C85" t="s">
        <v>232</v>
      </c>
      <c r="D85" t="s">
        <v>233</v>
      </c>
      <c r="E85" t="s">
        <v>234</v>
      </c>
      <c r="F85">
        <v>400</v>
      </c>
      <c r="G85" t="s">
        <v>235</v>
      </c>
      <c r="H85">
        <f t="shared" si="1"/>
        <v>1.73E-3</v>
      </c>
    </row>
    <row r="86" spans="1:16" x14ac:dyDescent="0.25">
      <c r="A86">
        <v>85</v>
      </c>
      <c r="B86" t="s">
        <v>236</v>
      </c>
      <c r="C86" t="s">
        <v>237</v>
      </c>
      <c r="D86" t="s">
        <v>238</v>
      </c>
      <c r="E86" t="s">
        <v>239</v>
      </c>
      <c r="F86">
        <v>400</v>
      </c>
      <c r="G86" t="s">
        <v>235</v>
      </c>
      <c r="H86">
        <f t="shared" si="1"/>
        <v>7.0299999999999996E-4</v>
      </c>
    </row>
    <row r="87" spans="1:16" x14ac:dyDescent="0.25">
      <c r="A87">
        <v>86</v>
      </c>
      <c r="B87" t="s">
        <v>240</v>
      </c>
      <c r="C87" t="s">
        <v>241</v>
      </c>
      <c r="D87" t="s">
        <v>242</v>
      </c>
      <c r="E87" t="s">
        <v>243</v>
      </c>
      <c r="F87">
        <v>400</v>
      </c>
      <c r="G87" t="s">
        <v>235</v>
      </c>
      <c r="H87">
        <f t="shared" si="1"/>
        <v>1.6590000000000001E-3</v>
      </c>
    </row>
    <row r="88" spans="1:16" x14ac:dyDescent="0.25">
      <c r="A88">
        <v>87</v>
      </c>
      <c r="B88" t="s">
        <v>244</v>
      </c>
      <c r="C88" t="s">
        <v>245</v>
      </c>
      <c r="D88" t="s">
        <v>246</v>
      </c>
      <c r="E88" t="s">
        <v>247</v>
      </c>
      <c r="F88">
        <v>400</v>
      </c>
      <c r="G88" t="s">
        <v>248</v>
      </c>
      <c r="H88">
        <f t="shared" si="1"/>
        <v>1.864E-3</v>
      </c>
    </row>
    <row r="89" spans="1:16" x14ac:dyDescent="0.25">
      <c r="A89">
        <v>88</v>
      </c>
      <c r="B89" t="s">
        <v>249</v>
      </c>
      <c r="C89" t="s">
        <v>250</v>
      </c>
      <c r="D89" t="s">
        <v>251</v>
      </c>
      <c r="E89" t="s">
        <v>252</v>
      </c>
      <c r="F89">
        <v>400</v>
      </c>
      <c r="G89" t="s">
        <v>248</v>
      </c>
      <c r="H89">
        <f t="shared" si="1"/>
        <v>1.895E-3</v>
      </c>
    </row>
    <row r="90" spans="1:16" x14ac:dyDescent="0.25">
      <c r="A90">
        <v>89</v>
      </c>
      <c r="B90" t="s">
        <v>253</v>
      </c>
      <c r="C90" t="s">
        <v>254</v>
      </c>
      <c r="D90" t="s">
        <v>255</v>
      </c>
      <c r="E90" t="s">
        <v>256</v>
      </c>
      <c r="F90">
        <v>200</v>
      </c>
      <c r="G90" t="s">
        <v>257</v>
      </c>
      <c r="H90">
        <f t="shared" si="1"/>
        <v>1.0023000000000001E-2</v>
      </c>
    </row>
    <row r="91" spans="1:16" x14ac:dyDescent="0.25">
      <c r="A91">
        <v>90</v>
      </c>
      <c r="B91" t="s">
        <v>258</v>
      </c>
      <c r="C91" t="s">
        <v>259</v>
      </c>
      <c r="D91" t="s">
        <v>260</v>
      </c>
      <c r="E91" t="s">
        <v>261</v>
      </c>
      <c r="F91">
        <v>400</v>
      </c>
      <c r="G91" t="s">
        <v>235</v>
      </c>
      <c r="H91">
        <f t="shared" si="1"/>
        <v>1.916E-3</v>
      </c>
    </row>
    <row r="92" spans="1:16" x14ac:dyDescent="0.25">
      <c r="A92">
        <v>91</v>
      </c>
      <c r="B92" t="s">
        <v>262</v>
      </c>
      <c r="C92" t="s">
        <v>263</v>
      </c>
      <c r="D92" t="s">
        <v>264</v>
      </c>
      <c r="E92" t="s">
        <v>265</v>
      </c>
      <c r="F92">
        <v>200</v>
      </c>
      <c r="G92" t="s">
        <v>257</v>
      </c>
      <c r="H92">
        <f t="shared" si="1"/>
        <v>8.8386000000000006E-2</v>
      </c>
    </row>
    <row r="93" spans="1:16" x14ac:dyDescent="0.25">
      <c r="A93">
        <v>92</v>
      </c>
      <c r="B93" t="s">
        <v>266</v>
      </c>
      <c r="C93" t="s">
        <v>267</v>
      </c>
      <c r="D93" t="s">
        <v>268</v>
      </c>
      <c r="E93" t="s">
        <v>269</v>
      </c>
      <c r="F93">
        <v>400</v>
      </c>
      <c r="G93" t="s">
        <v>235</v>
      </c>
      <c r="H93">
        <f t="shared" si="1"/>
        <v>1.817E-3</v>
      </c>
    </row>
    <row r="94" spans="1:16" x14ac:dyDescent="0.25">
      <c r="A94">
        <v>93</v>
      </c>
      <c r="B94" t="s">
        <v>270</v>
      </c>
      <c r="C94" t="s">
        <v>271</v>
      </c>
      <c r="D94" t="s">
        <v>272</v>
      </c>
      <c r="E94" t="s">
        <v>273</v>
      </c>
      <c r="F94">
        <v>200</v>
      </c>
      <c r="G94" t="s">
        <v>257</v>
      </c>
      <c r="H94">
        <f t="shared" si="1"/>
        <v>3.3757000000000002E-2</v>
      </c>
    </row>
    <row r="95" spans="1:16" x14ac:dyDescent="0.25">
      <c r="A95">
        <v>94</v>
      </c>
      <c r="B95" t="s">
        <v>274</v>
      </c>
      <c r="C95" t="s">
        <v>275</v>
      </c>
      <c r="D95" t="s">
        <v>276</v>
      </c>
      <c r="E95" t="s">
        <v>277</v>
      </c>
      <c r="F95">
        <v>400</v>
      </c>
      <c r="G95" t="s">
        <v>235</v>
      </c>
      <c r="H95">
        <f t="shared" si="1"/>
        <v>1.8010000000000001E-3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Описание полей</vt:lpstr>
      <vt:lpstr>Описание значений</vt:lpstr>
      <vt:lpstr>Список тестов</vt:lpstr>
      <vt:lpstr>LOGS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Гаджилы Орхан</dc:creator>
  <cp:lastModifiedBy>Гаджилы Орхан</cp:lastModifiedBy>
  <dcterms:created xsi:type="dcterms:W3CDTF">2019-08-20T13:31:21Z</dcterms:created>
  <dcterms:modified xsi:type="dcterms:W3CDTF">2019-08-23T13:35:03Z</dcterms:modified>
</cp:coreProperties>
</file>